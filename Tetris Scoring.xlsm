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d72369fc33db9c3/^MCareer/^MCurrent/^MPortfolio/^MPortfolio Projects/Tetris_Scoring/"/>
    </mc:Choice>
  </mc:AlternateContent>
  <xr:revisionPtr revIDLastSave="1874" documentId="8_{C99FC149-583E-451B-919B-E2AE07A721CF}" xr6:coauthVersionLast="47" xr6:coauthVersionMax="47" xr10:uidLastSave="{C0D1978F-7FEC-B446-8B15-24D7C5752E0D}"/>
  <bookViews>
    <workbookView xWindow="-28920" yWindow="-120" windowWidth="29040" windowHeight="16440" activeTab="1" xr2:uid="{D6F150CD-7552-4B4F-A7AE-527EE998824B}"/>
  </bookViews>
  <sheets>
    <sheet name="#Classic" sheetId="1" r:id="rId1"/>
    <sheet name="#=Ultra" sheetId="17" r:id="rId2"/>
    <sheet name="=Sprint" sheetId="19" r:id="rId3"/>
    <sheet name="+Purify" sheetId="10" r:id="rId4"/>
    <sheet name="+=Purify" sheetId="20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17" l="1"/>
  <c r="F51" i="1"/>
  <c r="G51" i="1"/>
  <c r="F30" i="19"/>
  <c r="G30" i="19"/>
  <c r="F29" i="19"/>
  <c r="G29" i="19"/>
  <c r="F28" i="19"/>
  <c r="G28" i="19"/>
  <c r="F14" i="10"/>
  <c r="P2" i="10"/>
  <c r="G14" i="10"/>
  <c r="G19" i="17"/>
  <c r="F18" i="17"/>
  <c r="G18" i="17"/>
  <c r="Q2" i="1"/>
  <c r="F27" i="19"/>
  <c r="G27" i="19"/>
  <c r="F26" i="19"/>
  <c r="G26" i="19"/>
  <c r="G25" i="19"/>
  <c r="F25" i="19"/>
  <c r="F50" i="1"/>
  <c r="G50" i="1"/>
  <c r="R2" i="1"/>
  <c r="F49" i="1"/>
  <c r="G49" i="1"/>
  <c r="F17" i="17"/>
  <c r="G17" i="17"/>
  <c r="F13" i="10"/>
  <c r="G13" i="10"/>
  <c r="Q2" i="10"/>
  <c r="F12" i="20"/>
  <c r="G12" i="20"/>
  <c r="F11" i="20"/>
  <c r="G11" i="20"/>
  <c r="F10" i="20"/>
  <c r="G10" i="20"/>
  <c r="F24" i="19"/>
  <c r="G24" i="19"/>
  <c r="F23" i="19"/>
  <c r="G23" i="19"/>
  <c r="G48" i="1"/>
  <c r="F48" i="1"/>
  <c r="F47" i="1"/>
  <c r="F16" i="17"/>
  <c r="G16" i="17"/>
  <c r="F15" i="17"/>
  <c r="G15" i="17"/>
  <c r="F14" i="17"/>
  <c r="G14" i="17"/>
  <c r="F13" i="17"/>
  <c r="G13" i="17"/>
  <c r="F9" i="20"/>
  <c r="G9" i="20"/>
  <c r="F8" i="20"/>
  <c r="G8" i="20"/>
  <c r="G47" i="1"/>
  <c r="F46" i="1"/>
  <c r="G46" i="1"/>
  <c r="F22" i="19"/>
  <c r="G22" i="19"/>
  <c r="F21" i="19"/>
  <c r="G21" i="19"/>
  <c r="F20" i="19"/>
  <c r="G20" i="19"/>
  <c r="F19" i="19"/>
  <c r="G19" i="19"/>
  <c r="F18" i="19"/>
  <c r="G18" i="19"/>
  <c r="F17" i="19"/>
  <c r="G17" i="19"/>
  <c r="N2" i="20"/>
  <c r="M2" i="20"/>
  <c r="F7" i="20"/>
  <c r="G7" i="20"/>
  <c r="G6" i="20"/>
  <c r="F6" i="20"/>
  <c r="G5" i="20"/>
  <c r="F5" i="20"/>
  <c r="G4" i="20"/>
  <c r="F4" i="20"/>
  <c r="G3" i="20"/>
  <c r="F3" i="20"/>
  <c r="N2" i="19"/>
  <c r="L2" i="19"/>
  <c r="F12" i="17"/>
  <c r="G12" i="17"/>
  <c r="F11" i="17"/>
  <c r="G11" i="17"/>
  <c r="F10" i="17"/>
  <c r="G10" i="17"/>
  <c r="F9" i="17"/>
  <c r="G9" i="17"/>
  <c r="F8" i="17"/>
  <c r="G8" i="17"/>
  <c r="M2" i="17"/>
  <c r="F12" i="10"/>
  <c r="G12" i="10"/>
  <c r="F11" i="10"/>
  <c r="G11" i="10"/>
  <c r="F10" i="10"/>
  <c r="G10" i="10"/>
  <c r="F9" i="10"/>
  <c r="G9" i="10"/>
  <c r="F8" i="10"/>
  <c r="G8" i="10"/>
  <c r="F7" i="10"/>
  <c r="G7" i="10"/>
  <c r="F6" i="10"/>
  <c r="G6" i="10"/>
  <c r="G5" i="10"/>
  <c r="F5" i="10"/>
  <c r="G4" i="10"/>
  <c r="F4" i="10"/>
  <c r="G3" i="10"/>
  <c r="F3" i="10"/>
  <c r="O2" i="10"/>
  <c r="N2" i="10"/>
  <c r="M2" i="10"/>
  <c r="G16" i="19"/>
  <c r="F16" i="19"/>
  <c r="G15" i="19"/>
  <c r="F15" i="19"/>
  <c r="G14" i="19"/>
  <c r="F14" i="19"/>
  <c r="F13" i="19"/>
  <c r="G13" i="19"/>
  <c r="F12" i="19"/>
  <c r="G12" i="19"/>
  <c r="F11" i="19"/>
  <c r="G11" i="19"/>
  <c r="F10" i="19"/>
  <c r="G10" i="19"/>
  <c r="G4" i="19"/>
  <c r="G5" i="19"/>
  <c r="G6" i="19"/>
  <c r="G7" i="19"/>
  <c r="G8" i="19"/>
  <c r="G9" i="19"/>
  <c r="F4" i="19"/>
  <c r="F5" i="19"/>
  <c r="F6" i="19"/>
  <c r="F7" i="19"/>
  <c r="F8" i="19"/>
  <c r="F9" i="19"/>
  <c r="G3" i="19"/>
  <c r="F3" i="19"/>
  <c r="F7" i="17"/>
  <c r="G7" i="17"/>
  <c r="G6" i="17"/>
  <c r="F6" i="17"/>
  <c r="G5" i="17"/>
  <c r="F5" i="17"/>
  <c r="G4" i="17"/>
  <c r="F4" i="17"/>
  <c r="G3" i="17"/>
  <c r="G3" i="1"/>
  <c r="F3" i="17"/>
  <c r="F3" i="1"/>
  <c r="L2" i="17"/>
  <c r="G45" i="1"/>
  <c r="F45" i="1"/>
  <c r="G44" i="1"/>
  <c r="F44" i="1"/>
  <c r="F43" i="1"/>
  <c r="G43" i="1"/>
  <c r="G42" i="1"/>
  <c r="G41" i="1"/>
  <c r="F42" i="1"/>
  <c r="F41" i="1"/>
  <c r="G40" i="1"/>
  <c r="F40" i="1"/>
  <c r="F39" i="1"/>
  <c r="G39" i="1"/>
  <c r="F38" i="1"/>
  <c r="G38" i="1"/>
  <c r="N2" i="1"/>
  <c r="P2" i="1"/>
  <c r="O2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6" i="1"/>
  <c r="G5" i="1"/>
  <c r="G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4" i="1"/>
  <c r="O2" i="17"/>
  <c r="O2" i="19"/>
  <c r="P2" i="17"/>
  <c r="P2" i="20"/>
  <c r="P2" i="19"/>
  <c r="Q2" i="20"/>
</calcChain>
</file>

<file path=xl/sharedStrings.xml><?xml version="1.0" encoding="utf-8"?>
<sst xmlns="http://schemas.openxmlformats.org/spreadsheetml/2006/main" count="691" uniqueCount="44">
  <si>
    <t>Key</t>
  </si>
  <si>
    <t>Date</t>
  </si>
  <si>
    <t>Score</t>
  </si>
  <si>
    <t>Lines</t>
  </si>
  <si>
    <t>Time</t>
  </si>
  <si>
    <t>Grade</t>
  </si>
  <si>
    <t>Score/Sec</t>
  </si>
  <si>
    <t>Lines/Sec</t>
  </si>
  <si>
    <t>Content</t>
  </si>
  <si>
    <t>Platform</t>
  </si>
  <si>
    <t>24.08.17</t>
  </si>
  <si>
    <t>24.08.18</t>
  </si>
  <si>
    <t>24.08.22</t>
  </si>
  <si>
    <t>24.08.26</t>
  </si>
  <si>
    <t>B</t>
  </si>
  <si>
    <t>C</t>
  </si>
  <si>
    <t>S</t>
  </si>
  <si>
    <t>D</t>
  </si>
  <si>
    <t>Null</t>
  </si>
  <si>
    <t>YT Videos</t>
  </si>
  <si>
    <t>YT Music</t>
  </si>
  <si>
    <t>PC</t>
  </si>
  <si>
    <t>Switch</t>
  </si>
  <si>
    <t>24.09.03</t>
  </si>
  <si>
    <t>SS</t>
  </si>
  <si>
    <t xml:space="preserve">Switch </t>
  </si>
  <si>
    <t>24.09.04</t>
  </si>
  <si>
    <t>End Lvl</t>
  </si>
  <si>
    <t>Start Lvl</t>
  </si>
  <si>
    <t>24.09.05</t>
  </si>
  <si>
    <t>A</t>
  </si>
  <si>
    <t>24.09.06</t>
  </si>
  <si>
    <t>Clears</t>
  </si>
  <si>
    <t>24.09.07</t>
  </si>
  <si>
    <t>Clears/Sec</t>
  </si>
  <si>
    <t>Difficulty</t>
  </si>
  <si>
    <t>Normal</t>
  </si>
  <si>
    <t>Beginner</t>
  </si>
  <si>
    <t>24.09.08</t>
  </si>
  <si>
    <t xml:space="preserve">PC </t>
  </si>
  <si>
    <t>24.09.10</t>
  </si>
  <si>
    <t>24.09.16</t>
  </si>
  <si>
    <t>24.09.17</t>
  </si>
  <si>
    <t>24.09.20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</si>
</sst>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\.mm\.dd"/>
    <numFmt numFmtId="165" formatCode="hh:mm:ss.00"/>
    <numFmt numFmtId="166" formatCode="0.000"/>
    <numFmt numFmtId="167" formatCode="mm:ss.00"/>
    <numFmt numFmtId="168" formatCode="#,##0.000"/>
  </numFmts>
  <fonts count="11" x14ac:knownFonts="1">
    <font>
      <sz val="14"/>
      <color theme="1"/>
      <name val="Calibri"/>
      <family val="2"/>
    </font>
    <font>
      <sz val="14"/>
      <color rgb="FF003399"/>
      <name val="Calibri"/>
      <family val="2"/>
    </font>
    <font>
      <u/>
      <sz val="14"/>
      <color theme="10"/>
      <name val="Calibri"/>
      <family val="2"/>
    </font>
    <font>
      <sz val="14"/>
      <name val="Calibri"/>
      <family val="2"/>
    </font>
    <font>
      <sz val="14"/>
      <color theme="0"/>
      <name val="Calibri"/>
      <family val="2"/>
    </font>
    <font>
      <b/>
      <sz val="14"/>
      <color theme="1"/>
      <name val="Calibri"/>
      <family val="2"/>
    </font>
    <font>
      <b/>
      <sz val="14"/>
      <color rgb="FF003399"/>
      <name val="Calibri"/>
      <family val="2"/>
    </font>
    <font>
      <sz val="14"/>
      <color rgb="FF008000"/>
      <name val="Calibri"/>
      <family val="2"/>
    </font>
    <font>
      <b/>
      <sz val="14"/>
      <color rgb="FF008000"/>
      <name val="Calibri"/>
      <family val="2"/>
    </font>
    <font>
      <b/>
      <sz val="14"/>
      <name val="Calibri"/>
      <family val="2"/>
    </font>
    <font>
      <sz val="14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6969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3" fillId="0" borderId="0" xfId="1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/>
    <xf numFmtId="0" fontId="4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8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4" borderId="0" xfId="0" applyNumberFormat="1" applyFill="1" applyAlignment="1">
      <alignment horizontal="center"/>
    </xf>
    <xf numFmtId="3" fontId="5" fillId="3" borderId="0" xfId="0" applyNumberFormat="1" applyFont="1" applyFill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68" fontId="6" fillId="3" borderId="0" xfId="0" applyNumberFormat="1" applyFont="1" applyFill="1" applyAlignment="1">
      <alignment horizontal="center"/>
    </xf>
    <xf numFmtId="3" fontId="3" fillId="0" borderId="0" xfId="0" applyNumberFormat="1" applyFont="1" applyAlignment="1">
      <alignment horizontal="center"/>
    </xf>
    <xf numFmtId="3" fontId="7" fillId="0" borderId="0" xfId="0" applyNumberFormat="1" applyFont="1" applyAlignment="1">
      <alignment horizontal="center"/>
    </xf>
    <xf numFmtId="167" fontId="7" fillId="0" borderId="0" xfId="0" applyNumberFormat="1" applyFont="1" applyAlignment="1">
      <alignment horizontal="center"/>
    </xf>
    <xf numFmtId="3" fontId="3" fillId="0" borderId="0" xfId="0" applyNumberFormat="1" applyFont="1"/>
    <xf numFmtId="167" fontId="7" fillId="0" borderId="0" xfId="0" applyNumberFormat="1" applyFont="1"/>
    <xf numFmtId="168" fontId="0" fillId="0" borderId="0" xfId="0" applyNumberFormat="1"/>
    <xf numFmtId="0" fontId="4" fillId="0" borderId="0" xfId="0" applyFont="1" applyAlignment="1">
      <alignment horizontal="center"/>
    </xf>
    <xf numFmtId="0" fontId="10" fillId="2" borderId="0" xfId="0" applyFont="1" applyFill="1" applyAlignment="1">
      <alignment horizontal="center"/>
    </xf>
    <xf numFmtId="166" fontId="0" fillId="0" borderId="0" xfId="0" applyNumberFormat="1"/>
    <xf numFmtId="3" fontId="1" fillId="0" borderId="0" xfId="0" applyNumberFormat="1" applyFont="1" applyAlignment="1">
      <alignment horizontal="center"/>
    </xf>
    <xf numFmtId="3" fontId="9" fillId="3" borderId="0" xfId="0" applyNumberFormat="1" applyFont="1" applyFill="1" applyAlignment="1">
      <alignment horizontal="center"/>
    </xf>
    <xf numFmtId="3" fontId="0" fillId="4" borderId="0" xfId="0" applyNumberFormat="1" applyFill="1" applyAlignment="1">
      <alignment horizontal="center"/>
    </xf>
    <xf numFmtId="3" fontId="0" fillId="3" borderId="0" xfId="0" applyNumberFormat="1" applyFill="1" applyAlignment="1">
      <alignment horizontal="center"/>
    </xf>
    <xf numFmtId="22" fontId="4" fillId="2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 vertical="center"/>
    </xf>
    <xf numFmtId="3" fontId="3" fillId="3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3" fontId="8" fillId="3" borderId="0" xfId="0" applyNumberFormat="1" applyFont="1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center" vertical="center"/>
    </xf>
    <xf numFmtId="166" fontId="1" fillId="3" borderId="0" xfId="0" applyNumberFormat="1" applyFont="1" applyFill="1" applyAlignment="1">
      <alignment horizontal="center" vertical="center"/>
    </xf>
    <xf numFmtId="167" fontId="8" fillId="3" borderId="0" xfId="0" applyNumberFormat="1" applyFont="1" applyFill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44">
    <dxf>
      <font>
        <b/>
        <i val="0"/>
        <color rgb="FF5B4583"/>
      </font>
    </dxf>
    <dxf>
      <font>
        <b/>
        <i val="0"/>
      </font>
    </dxf>
    <dxf>
      <font>
        <b/>
        <i val="0"/>
      </font>
    </dxf>
    <dxf>
      <font>
        <color rgb="FFFF1515"/>
      </font>
    </dxf>
    <dxf>
      <font>
        <b/>
        <i val="0"/>
      </font>
    </dxf>
    <dxf>
      <font>
        <b/>
        <i val="0"/>
      </font>
    </dxf>
    <dxf>
      <font>
        <color rgb="FFF6007B"/>
      </font>
    </dxf>
    <dxf>
      <font>
        <color theme="1"/>
      </font>
    </dxf>
    <dxf>
      <font>
        <color theme="1"/>
      </font>
      <fill>
        <patternFill>
          <bgColor rgb="FF969696"/>
        </patternFill>
      </fill>
    </dxf>
    <dxf>
      <font>
        <color rgb="FFC80000"/>
      </font>
    </dxf>
    <dxf>
      <font>
        <color theme="1"/>
      </font>
    </dxf>
    <dxf>
      <font>
        <color rgb="FF63DE10"/>
      </font>
    </dxf>
    <dxf>
      <font>
        <color rgb="FFE5B70D"/>
      </font>
    </dxf>
    <dxf>
      <font>
        <b/>
        <i val="0"/>
        <color rgb="FFEB7B43"/>
      </font>
    </dxf>
    <dxf>
      <font>
        <color theme="1"/>
      </font>
    </dxf>
    <dxf>
      <font>
        <color rgb="FF009999"/>
      </font>
    </dxf>
    <dxf>
      <font>
        <color rgb="FF003399"/>
      </font>
    </dxf>
    <dxf>
      <font>
        <color rgb="FF009999"/>
      </font>
    </dxf>
    <dxf>
      <font>
        <color rgb="FF003399"/>
      </font>
    </dxf>
    <dxf>
      <font>
        <color rgb="FF009999"/>
      </font>
    </dxf>
    <dxf>
      <font>
        <color rgb="FF003399"/>
      </font>
    </dxf>
    <dxf>
      <font>
        <color theme="1"/>
      </font>
    </dxf>
    <dxf>
      <font>
        <color rgb="FF0D976C"/>
      </font>
    </dxf>
    <dxf>
      <font>
        <color theme="1"/>
      </font>
    </dxf>
    <dxf>
      <font>
        <color rgb="FF0D976C"/>
      </font>
    </dxf>
    <dxf>
      <font>
        <color theme="1"/>
      </font>
    </dxf>
    <dxf>
      <font>
        <color rgb="FFFF1515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F6007B"/>
      </font>
    </dxf>
    <dxf>
      <font>
        <color theme="1"/>
      </font>
    </dxf>
    <dxf>
      <font>
        <color theme="1"/>
      </font>
      <fill>
        <patternFill>
          <bgColor rgb="FF969696"/>
        </patternFill>
      </fill>
    </dxf>
    <dxf>
      <font>
        <color rgb="FFC80000"/>
      </font>
    </dxf>
    <dxf>
      <font>
        <color theme="1"/>
      </font>
    </dxf>
    <dxf>
      <font>
        <color rgb="FF63DE10"/>
      </font>
    </dxf>
    <dxf>
      <font>
        <color rgb="FFE5B70D"/>
      </font>
    </dxf>
    <dxf>
      <font>
        <b/>
        <i val="0"/>
        <color rgb="FFEB7B43"/>
      </font>
    </dxf>
    <dxf>
      <font>
        <color theme="1"/>
      </font>
    </dxf>
    <dxf>
      <fill>
        <patternFill>
          <bgColor rgb="FF9D9D9D"/>
        </patternFill>
      </fill>
    </dxf>
    <dxf>
      <font>
        <color rgb="FF009999"/>
      </font>
    </dxf>
    <dxf>
      <font>
        <color rgb="FF003399"/>
      </font>
    </dxf>
    <dxf>
      <font>
        <color rgb="FF009999"/>
      </font>
    </dxf>
    <dxf>
      <font>
        <color rgb="FF003399"/>
      </font>
    </dxf>
    <dxf>
      <font>
        <color rgb="FF009999"/>
      </font>
    </dxf>
    <dxf>
      <font>
        <color rgb="FF003399"/>
      </font>
    </dxf>
    <dxf>
      <font>
        <color rgb="FF0D976C"/>
      </font>
    </dxf>
    <dxf>
      <font>
        <color theme="1"/>
      </font>
    </dxf>
    <dxf>
      <font>
        <color rgb="FF0D976C"/>
      </font>
    </dxf>
    <dxf>
      <font>
        <color theme="1"/>
      </font>
    </dxf>
    <dxf>
      <font>
        <color rgb="FF0D976C"/>
      </font>
    </dxf>
    <dxf>
      <font>
        <color theme="1"/>
      </font>
    </dxf>
    <dxf>
      <font>
        <color rgb="FFFF1515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F6007B"/>
      </font>
    </dxf>
    <dxf>
      <font>
        <color theme="1"/>
      </font>
    </dxf>
    <dxf>
      <font>
        <color theme="1"/>
      </font>
      <fill>
        <patternFill>
          <bgColor rgb="FF969696"/>
        </patternFill>
      </fill>
    </dxf>
    <dxf>
      <font>
        <color rgb="FFC80000"/>
      </font>
    </dxf>
    <dxf>
      <font>
        <color theme="1"/>
      </font>
    </dxf>
    <dxf>
      <font>
        <color rgb="FF63DE10"/>
      </font>
    </dxf>
    <dxf>
      <font>
        <color rgb="FFE5B70D"/>
      </font>
    </dxf>
    <dxf>
      <font>
        <b/>
        <i val="0"/>
        <color rgb="FFEB7B43"/>
      </font>
    </dxf>
    <dxf>
      <font>
        <color theme="1"/>
      </font>
    </dxf>
    <dxf>
      <fill>
        <patternFill>
          <bgColor rgb="FF9D9D9D"/>
        </patternFill>
      </fill>
    </dxf>
    <dxf>
      <font>
        <color rgb="FF009999"/>
      </font>
    </dxf>
    <dxf>
      <font>
        <color rgb="FF003399"/>
      </font>
    </dxf>
    <dxf>
      <font>
        <color rgb="FF009999"/>
      </font>
    </dxf>
    <dxf>
      <font>
        <color rgb="FF003399"/>
      </font>
    </dxf>
    <dxf>
      <font>
        <color rgb="FF009999"/>
      </font>
    </dxf>
    <dxf>
      <font>
        <color rgb="FF003399"/>
      </font>
    </dxf>
    <dxf>
      <font>
        <color rgb="FF0D976C"/>
      </font>
    </dxf>
    <dxf>
      <font>
        <color theme="1"/>
      </font>
    </dxf>
    <dxf>
      <font>
        <b/>
        <i val="0"/>
        <color rgb="FF5B4583"/>
      </font>
    </dxf>
    <dxf>
      <font>
        <color rgb="FF0D976C"/>
      </font>
    </dxf>
    <dxf>
      <font>
        <color theme="1"/>
      </font>
    </dxf>
    <dxf>
      <font>
        <color rgb="FFC80000"/>
      </font>
    </dxf>
    <dxf>
      <font>
        <color theme="1"/>
      </font>
    </dxf>
    <dxf>
      <font>
        <color rgb="FF63DE10"/>
      </font>
    </dxf>
    <dxf>
      <font>
        <color rgb="FFE5B70D"/>
      </font>
    </dxf>
    <dxf>
      <font>
        <b/>
        <i val="0"/>
        <color rgb="FFEB7B43"/>
      </font>
    </dxf>
    <dxf>
      <font>
        <color theme="1"/>
      </font>
    </dxf>
    <dxf>
      <font>
        <color rgb="FFF6007B"/>
      </font>
    </dxf>
    <dxf>
      <font>
        <color theme="1"/>
      </font>
      <fill>
        <patternFill>
          <bgColor rgb="FF969696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FF1515"/>
      </font>
    </dxf>
    <dxf>
      <font>
        <b/>
        <i val="0"/>
      </font>
    </dxf>
    <dxf>
      <font>
        <b/>
        <i val="0"/>
      </font>
    </dxf>
    <dxf>
      <font>
        <color rgb="FF009999"/>
      </font>
    </dxf>
    <dxf>
      <font>
        <color rgb="FF009999"/>
      </font>
    </dxf>
    <dxf>
      <font>
        <color rgb="FF009999"/>
      </font>
    </dxf>
    <dxf>
      <font>
        <color rgb="FF003399"/>
      </font>
    </dxf>
    <dxf>
      <font>
        <color rgb="FF003399"/>
      </font>
    </dxf>
    <dxf>
      <font>
        <color rgb="FF003399"/>
      </font>
    </dxf>
    <dxf>
      <font>
        <b/>
        <i val="0"/>
        <color rgb="FF5B4583"/>
      </font>
    </dxf>
    <dxf>
      <font>
        <color rgb="FF0D976C"/>
      </font>
    </dxf>
    <dxf>
      <font>
        <color theme="1"/>
      </font>
    </dxf>
    <dxf>
      <font>
        <color rgb="FF0D976C"/>
      </font>
    </dxf>
    <dxf>
      <font>
        <color theme="1"/>
      </font>
    </dxf>
    <dxf>
      <font>
        <color rgb="FFF6007B"/>
      </font>
    </dxf>
    <dxf>
      <font>
        <color theme="1"/>
      </font>
      <fill>
        <patternFill>
          <bgColor rgb="FF969696"/>
        </patternFill>
      </fill>
    </dxf>
    <dxf>
      <font>
        <color rgb="FFFF1515"/>
      </font>
    </dxf>
    <dxf>
      <font>
        <color rgb="FFC80000"/>
      </font>
    </dxf>
    <dxf>
      <font>
        <color theme="1"/>
      </font>
    </dxf>
    <dxf>
      <font>
        <color rgb="FF63DE10"/>
      </font>
    </dxf>
    <dxf>
      <font>
        <color rgb="FFE5B70D"/>
      </font>
    </dxf>
    <dxf>
      <font>
        <b/>
        <i val="0"/>
        <color rgb="FFEB7B43"/>
      </font>
    </dxf>
    <dxf>
      <font>
        <color theme="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1"/>
      </font>
      <fill>
        <patternFill>
          <bgColor rgb="FF9D9D9D"/>
        </patternFill>
      </fill>
    </dxf>
    <dxf>
      <font>
        <color theme="1"/>
      </font>
      <fill>
        <patternFill>
          <bgColor rgb="FF9D9D9D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C80000"/>
      </font>
    </dxf>
    <dxf>
      <font>
        <color theme="1"/>
      </font>
    </dxf>
    <dxf>
      <font>
        <color rgb="FF63DE10"/>
      </font>
    </dxf>
    <dxf>
      <font>
        <color rgb="FFE5B70D"/>
      </font>
    </dxf>
    <dxf>
      <font>
        <b/>
        <i val="0"/>
        <color rgb="FFEB7B43"/>
      </font>
    </dxf>
    <dxf>
      <font>
        <color theme="1"/>
      </font>
    </dxf>
    <dxf>
      <font>
        <color rgb="FFF6007B"/>
      </font>
    </dxf>
    <dxf>
      <font>
        <color theme="1"/>
      </font>
      <fill>
        <patternFill>
          <bgColor rgb="FF9D9D9D"/>
        </patternFill>
      </fill>
    </dxf>
    <dxf>
      <font>
        <color rgb="FFFF1515"/>
      </font>
    </dxf>
    <dxf>
      <font>
        <color rgb="FF009999"/>
      </font>
    </dxf>
    <dxf>
      <font>
        <color rgb="FF003399"/>
      </font>
    </dxf>
    <dxf>
      <font>
        <color rgb="FF009999"/>
      </font>
    </dxf>
    <dxf>
      <font>
        <color rgb="FF003399"/>
      </font>
    </dxf>
    <dxf>
      <font>
        <color rgb="FF0D976C"/>
      </font>
    </dxf>
    <dxf>
      <font>
        <color theme="1"/>
      </font>
    </dxf>
    <dxf>
      <font>
        <color rgb="FF0D976C"/>
      </font>
    </dxf>
    <dxf>
      <font>
        <color theme="1"/>
      </font>
    </dxf>
    <dxf>
      <font>
        <color rgb="FF0D976C"/>
      </font>
    </dxf>
    <dxf>
      <font>
        <color theme="1"/>
      </font>
    </dxf>
  </dxfs>
  <tableStyles count="0" defaultTableStyle="TableStyleMedium2" defaultPivotStyle="PivotStyleLight16"/>
  <colors>
    <mruColors>
      <color rgb="FF5B4583"/>
      <color rgb="FFF6007B"/>
      <color rgb="FFFFFFFF"/>
      <color rgb="FF969696"/>
      <color rgb="FF003399"/>
      <color rgb="FF009999"/>
      <color rgb="FF0D976C"/>
      <color rgb="FFFF1515"/>
      <color rgb="FFC80000"/>
      <color rgb="FF63DE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13</xdr:col>
          <xdr:colOff>9525</xdr:colOff>
          <xdr:row>2</xdr:row>
          <xdr:rowOff>0</xdr:rowOff>
        </xdr:to>
        <xdr:sp macro="" textlink="">
          <xdr:nvSpPr>
            <xdr:cNvPr id="1025" name="Classi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14337" name="Ultra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9525</xdr:rowOff>
        </xdr:from>
        <xdr:to>
          <xdr:col>11</xdr:col>
          <xdr:colOff>0</xdr:colOff>
          <xdr:row>2</xdr:row>
          <xdr:rowOff>19050</xdr:rowOff>
        </xdr:to>
        <xdr:sp macro="" textlink="">
          <xdr:nvSpPr>
            <xdr:cNvPr id="18433" name="Sprin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0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22529" name="Purify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0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23553" name="Purify_Timed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20614-077D-4CC5-97B6-CBCFE84C1426}">
  <sheetPr codeName="Sheet1"/>
  <dimension ref="A1:X102"/>
  <sheetViews>
    <sheetView zoomScaleNormal="100" workbookViewId="0">
      <pane ySplit="2" topLeftCell="A36" activePane="bottomLeft" state="frozen"/>
      <selection pane="bottomLeft" activeCell="P56" sqref="P56"/>
    </sheetView>
  </sheetViews>
  <sheetFormatPr defaultRowHeight="18.75" x14ac:dyDescent="0.25"/>
  <cols>
    <col min="1" max="1" width="3.91015625" bestFit="1" customWidth="1"/>
    <col min="2" max="2" width="7.92578125" style="2" bestFit="1" customWidth="1"/>
    <col min="3" max="3" width="7.3984375" style="19" bestFit="1" customWidth="1"/>
    <col min="4" max="4" width="4.75390625" style="4" bestFit="1" customWidth="1"/>
    <col min="5" max="5" width="7.92578125" style="8" bestFit="1" customWidth="1"/>
    <col min="6" max="6" width="8.453125" style="11" bestFit="1" customWidth="1"/>
    <col min="7" max="7" width="8.13671875" style="6" bestFit="1" customWidth="1"/>
    <col min="8" max="8" width="5.6015625" style="1" bestFit="1" customWidth="1"/>
    <col min="9" max="9" width="7.609375" style="1" bestFit="1" customWidth="1"/>
    <col min="10" max="10" width="8.2421875" bestFit="1" customWidth="1"/>
    <col min="11" max="11" width="7.078125" style="18" bestFit="1" customWidth="1"/>
    <col min="12" max="12" width="6.33984375" style="10" bestFit="1" customWidth="1"/>
    <col min="13" max="13" width="8.76953125" style="25" customWidth="1"/>
    <col min="14" max="14" width="7.3984375" style="4" bestFit="1" customWidth="1"/>
    <col min="15" max="15" width="4.96484375" style="4" bestFit="1" customWidth="1"/>
    <col min="16" max="16" width="7.92578125" style="7" bestFit="1" customWidth="1"/>
    <col min="17" max="17" width="8.76953125" style="11" bestFit="1" customWidth="1"/>
    <col min="18" max="18" width="8.453125" style="6" bestFit="1" customWidth="1"/>
  </cols>
  <sheetData>
    <row r="1" spans="1:24" x14ac:dyDescent="0.25">
      <c r="A1" s="34" t="s">
        <v>0</v>
      </c>
      <c r="B1" s="35" t="s">
        <v>1</v>
      </c>
      <c r="C1" s="36" t="s">
        <v>2</v>
      </c>
      <c r="D1" s="37" t="s">
        <v>3</v>
      </c>
      <c r="E1" s="38" t="s">
        <v>4</v>
      </c>
      <c r="F1" s="39" t="s">
        <v>6</v>
      </c>
      <c r="G1" s="40" t="s">
        <v>7</v>
      </c>
      <c r="H1" s="34" t="s">
        <v>5</v>
      </c>
      <c r="I1" s="34" t="s">
        <v>9</v>
      </c>
      <c r="J1" s="34" t="s">
        <v>8</v>
      </c>
      <c r="K1" s="33" t="s">
        <v>28</v>
      </c>
      <c r="L1" s="32" t="s">
        <v>27</v>
      </c>
      <c r="N1" s="14" t="s">
        <v>2</v>
      </c>
      <c r="O1" s="14" t="s">
        <v>3</v>
      </c>
      <c r="P1" s="15" t="s">
        <v>4</v>
      </c>
      <c r="Q1" s="17" t="s">
        <v>6</v>
      </c>
      <c r="R1" s="16" t="s">
        <v>7</v>
      </c>
    </row>
    <row r="2" spans="1:24" x14ac:dyDescent="0.25">
      <c r="A2" s="34"/>
      <c r="B2" s="35"/>
      <c r="C2" s="36"/>
      <c r="D2" s="37"/>
      <c r="E2" s="38"/>
      <c r="F2" s="39"/>
      <c r="G2" s="40"/>
      <c r="H2" s="34"/>
      <c r="I2" s="34"/>
      <c r="J2" s="34"/>
      <c r="K2" s="33"/>
      <c r="L2" s="32"/>
      <c r="N2" s="14">
        <f>AVERAGE(C:C)</f>
        <v>178768.73469387754</v>
      </c>
      <c r="O2" s="14">
        <f>AVERAGE(D:D)</f>
        <v>161.59183673469389</v>
      </c>
      <c r="P2" s="15">
        <f>AVERAGE(E:E)</f>
        <v>5.977312452758881E-3</v>
      </c>
      <c r="Q2" s="17">
        <f>AVERAGE(F:F)</f>
        <v>322.33215281479329</v>
      </c>
      <c r="R2" s="16">
        <f>AVERAGE(G:G)</f>
        <v>0.31175089779649795</v>
      </c>
    </row>
    <row r="3" spans="1:24" x14ac:dyDescent="0.25">
      <c r="A3" s="1">
        <v>1</v>
      </c>
      <c r="B3" s="2" t="s">
        <v>10</v>
      </c>
      <c r="C3" s="19">
        <v>237961</v>
      </c>
      <c r="D3" s="4">
        <v>199</v>
      </c>
      <c r="E3" s="7">
        <v>7.1875000000000003E-3</v>
      </c>
      <c r="F3" s="11">
        <f>C3/(E3*86400)</f>
        <v>383.19001610305958</v>
      </c>
      <c r="G3" s="6">
        <f>D3/(E3*86400)</f>
        <v>0.32045088566827695</v>
      </c>
      <c r="H3" s="1" t="s">
        <v>14</v>
      </c>
      <c r="I3" s="5" t="s">
        <v>21</v>
      </c>
      <c r="J3" s="13" t="s">
        <v>18</v>
      </c>
      <c r="K3" s="29" t="s">
        <v>18</v>
      </c>
      <c r="L3" s="5" t="s">
        <v>18</v>
      </c>
    </row>
    <row r="4" spans="1:24" x14ac:dyDescent="0.25">
      <c r="A4" s="1">
        <v>2</v>
      </c>
      <c r="B4" s="2" t="s">
        <v>10</v>
      </c>
      <c r="C4" s="19">
        <v>78629</v>
      </c>
      <c r="D4" s="4">
        <v>104</v>
      </c>
      <c r="E4" s="7">
        <v>3.9930555555555552E-3</v>
      </c>
      <c r="F4" s="11">
        <f>C4/(E4*86400)</f>
        <v>227.91014492753624</v>
      </c>
      <c r="G4" s="6">
        <f>D4/(E4*86400)</f>
        <v>0.30144927536231886</v>
      </c>
      <c r="H4" s="1" t="s">
        <v>15</v>
      </c>
      <c r="I4" s="5" t="s">
        <v>21</v>
      </c>
      <c r="J4" s="13" t="s">
        <v>18</v>
      </c>
      <c r="K4" s="29" t="s">
        <v>18</v>
      </c>
      <c r="L4" s="5" t="s">
        <v>18</v>
      </c>
    </row>
    <row r="5" spans="1:24" x14ac:dyDescent="0.25">
      <c r="A5" s="1">
        <v>3</v>
      </c>
      <c r="B5" s="2" t="s">
        <v>10</v>
      </c>
      <c r="C5" s="19">
        <v>62550</v>
      </c>
      <c r="D5" s="4">
        <v>94</v>
      </c>
      <c r="E5" s="7">
        <v>3.3864583333333338E-3</v>
      </c>
      <c r="F5" s="11">
        <f t="shared" ref="F5:F40" si="0">C5/(E5*86400)</f>
        <v>213.78037526914792</v>
      </c>
      <c r="G5" s="6">
        <f>D5/(E5*86400)</f>
        <v>0.32126866946922311</v>
      </c>
      <c r="H5" s="1" t="s">
        <v>15</v>
      </c>
      <c r="I5" s="5" t="s">
        <v>21</v>
      </c>
      <c r="J5" s="13" t="s">
        <v>18</v>
      </c>
      <c r="K5" s="29" t="s">
        <v>18</v>
      </c>
      <c r="L5" s="5" t="s">
        <v>18</v>
      </c>
    </row>
    <row r="6" spans="1:24" x14ac:dyDescent="0.25">
      <c r="A6" s="1">
        <v>4</v>
      </c>
      <c r="B6" s="2" t="s">
        <v>10</v>
      </c>
      <c r="C6" s="19">
        <v>168572</v>
      </c>
      <c r="D6" s="4">
        <v>162</v>
      </c>
      <c r="E6" s="7">
        <v>5.807407407407407E-3</v>
      </c>
      <c r="F6" s="11">
        <f t="shared" si="0"/>
        <v>335.96141581632656</v>
      </c>
      <c r="G6" s="6">
        <f>D6/(E6*86400)</f>
        <v>0.3228635204081633</v>
      </c>
      <c r="H6" s="1" t="s">
        <v>14</v>
      </c>
      <c r="I6" s="5" t="s">
        <v>21</v>
      </c>
      <c r="J6" s="13" t="s">
        <v>18</v>
      </c>
      <c r="K6" s="29" t="s">
        <v>18</v>
      </c>
      <c r="L6" s="5" t="s">
        <v>18</v>
      </c>
    </row>
    <row r="7" spans="1:24" x14ac:dyDescent="0.25">
      <c r="A7" s="1">
        <v>5</v>
      </c>
      <c r="B7" s="2" t="s">
        <v>10</v>
      </c>
      <c r="C7" s="19">
        <v>412180</v>
      </c>
      <c r="D7" s="4">
        <v>280</v>
      </c>
      <c r="E7" s="7">
        <v>1.0425810185185186E-2</v>
      </c>
      <c r="F7" s="11">
        <f t="shared" si="0"/>
        <v>457.57612762131015</v>
      </c>
      <c r="G7" s="6">
        <f t="shared" ref="G7:G39" si="1">D7/(E7*86400)</f>
        <v>0.31083826419032179</v>
      </c>
      <c r="H7" s="1" t="s">
        <v>16</v>
      </c>
      <c r="I7" s="5" t="s">
        <v>21</v>
      </c>
      <c r="J7" s="13" t="s">
        <v>18</v>
      </c>
      <c r="K7" s="29" t="s">
        <v>18</v>
      </c>
      <c r="L7" s="5" t="s">
        <v>18</v>
      </c>
      <c r="M7" s="25" t="s">
        <v>10</v>
      </c>
      <c r="N7" s="4">
        <v>191978.4</v>
      </c>
      <c r="O7" s="4">
        <v>167.8</v>
      </c>
      <c r="P7" s="7">
        <v>6.1600462962962997E-3</v>
      </c>
      <c r="Q7" s="11">
        <v>323.68361272686423</v>
      </c>
      <c r="R7" s="6">
        <v>0.31528394588600539</v>
      </c>
      <c r="T7" s="12"/>
      <c r="U7" s="12"/>
      <c r="V7" s="8"/>
      <c r="W7" s="23"/>
      <c r="X7" s="26"/>
    </row>
    <row r="8" spans="1:24" x14ac:dyDescent="0.25">
      <c r="A8" s="1">
        <v>6</v>
      </c>
      <c r="B8" s="2" t="s">
        <v>11</v>
      </c>
      <c r="C8" s="19">
        <v>210553</v>
      </c>
      <c r="D8" s="4">
        <v>179</v>
      </c>
      <c r="E8" s="7">
        <v>6.7069444444444451E-3</v>
      </c>
      <c r="F8" s="11">
        <f t="shared" si="0"/>
        <v>363.34817422516738</v>
      </c>
      <c r="G8" s="6">
        <f t="shared" si="1"/>
        <v>0.30889763236004691</v>
      </c>
      <c r="H8" s="1" t="s">
        <v>14</v>
      </c>
      <c r="I8" s="5" t="s">
        <v>21</v>
      </c>
      <c r="J8" s="5" t="s">
        <v>19</v>
      </c>
      <c r="K8" s="30" t="s">
        <v>18</v>
      </c>
      <c r="L8" s="5" t="s">
        <v>18</v>
      </c>
    </row>
    <row r="9" spans="1:24" x14ac:dyDescent="0.25">
      <c r="A9" s="1">
        <v>7</v>
      </c>
      <c r="B9" s="2" t="s">
        <v>11</v>
      </c>
      <c r="C9" s="19">
        <v>203234</v>
      </c>
      <c r="D9" s="4">
        <v>177</v>
      </c>
      <c r="E9" s="7">
        <v>6.3038194444444444E-3</v>
      </c>
      <c r="F9" s="11">
        <f t="shared" si="0"/>
        <v>373.14605710089052</v>
      </c>
      <c r="G9" s="6">
        <f t="shared" si="1"/>
        <v>0.32497934453318644</v>
      </c>
      <c r="H9" s="1" t="s">
        <v>14</v>
      </c>
      <c r="I9" s="5" t="s">
        <v>21</v>
      </c>
      <c r="J9" s="5" t="s">
        <v>19</v>
      </c>
      <c r="K9" s="30" t="s">
        <v>18</v>
      </c>
      <c r="L9" s="5" t="s">
        <v>18</v>
      </c>
    </row>
    <row r="10" spans="1:24" x14ac:dyDescent="0.25">
      <c r="A10" s="1">
        <v>8</v>
      </c>
      <c r="B10" s="2" t="s">
        <v>11</v>
      </c>
      <c r="C10" s="19">
        <v>257982</v>
      </c>
      <c r="D10" s="4">
        <v>205</v>
      </c>
      <c r="E10" s="7">
        <v>7.2681712962962969E-3</v>
      </c>
      <c r="F10" s="11">
        <f t="shared" si="0"/>
        <v>410.81898816822456</v>
      </c>
      <c r="G10" s="6">
        <f t="shared" si="1"/>
        <v>0.32644871570297945</v>
      </c>
      <c r="H10" s="1" t="s">
        <v>14</v>
      </c>
      <c r="I10" s="5" t="s">
        <v>21</v>
      </c>
      <c r="J10" s="5" t="s">
        <v>19</v>
      </c>
      <c r="K10" s="30" t="s">
        <v>18</v>
      </c>
      <c r="L10" s="5" t="s">
        <v>18</v>
      </c>
    </row>
    <row r="11" spans="1:24" x14ac:dyDescent="0.25">
      <c r="A11" s="1">
        <v>9</v>
      </c>
      <c r="B11" s="2" t="s">
        <v>11</v>
      </c>
      <c r="C11" s="19">
        <v>203104</v>
      </c>
      <c r="D11" s="4">
        <v>173</v>
      </c>
      <c r="E11" s="7">
        <v>6.1651620370370367E-3</v>
      </c>
      <c r="F11" s="11">
        <f t="shared" si="0"/>
        <v>381.29423470441367</v>
      </c>
      <c r="G11" s="6">
        <f t="shared" si="1"/>
        <v>0.32477894381136541</v>
      </c>
      <c r="H11" s="1" t="s">
        <v>14</v>
      </c>
      <c r="I11" s="5" t="s">
        <v>21</v>
      </c>
      <c r="J11" s="5" t="s">
        <v>19</v>
      </c>
      <c r="K11" s="4" t="s">
        <v>18</v>
      </c>
      <c r="L11" s="5" t="s">
        <v>18</v>
      </c>
    </row>
    <row r="12" spans="1:24" x14ac:dyDescent="0.25">
      <c r="A12" s="1">
        <v>10</v>
      </c>
      <c r="B12" s="2" t="s">
        <v>11</v>
      </c>
      <c r="C12" s="19">
        <v>32952</v>
      </c>
      <c r="D12" s="4">
        <v>66</v>
      </c>
      <c r="E12" s="7">
        <v>2.7181712962962962E-3</v>
      </c>
      <c r="F12" s="11">
        <f t="shared" si="0"/>
        <v>140.31083670427932</v>
      </c>
      <c r="G12" s="6">
        <f t="shared" si="1"/>
        <v>0.28103044496487123</v>
      </c>
      <c r="H12" s="1" t="s">
        <v>17</v>
      </c>
      <c r="I12" s="5" t="s">
        <v>21</v>
      </c>
      <c r="J12" s="5" t="s">
        <v>19</v>
      </c>
      <c r="K12" s="4" t="s">
        <v>18</v>
      </c>
      <c r="L12" s="5" t="s">
        <v>18</v>
      </c>
    </row>
    <row r="13" spans="1:24" x14ac:dyDescent="0.25">
      <c r="A13" s="1">
        <v>11</v>
      </c>
      <c r="B13" s="2" t="s">
        <v>11</v>
      </c>
      <c r="C13" s="19">
        <v>195648</v>
      </c>
      <c r="D13" s="4">
        <v>175</v>
      </c>
      <c r="E13" s="7">
        <v>6.2063657407407406E-3</v>
      </c>
      <c r="F13" s="11">
        <f t="shared" si="0"/>
        <v>364.85836301587005</v>
      </c>
      <c r="G13" s="6">
        <f t="shared" si="1"/>
        <v>0.32635249799526322</v>
      </c>
      <c r="H13" s="1" t="s">
        <v>14</v>
      </c>
      <c r="I13" s="5" t="s">
        <v>21</v>
      </c>
      <c r="J13" s="5" t="s">
        <v>19</v>
      </c>
      <c r="K13" s="30" t="s">
        <v>18</v>
      </c>
      <c r="L13" s="5" t="s">
        <v>18</v>
      </c>
    </row>
    <row r="14" spans="1:24" x14ac:dyDescent="0.25">
      <c r="A14" s="1">
        <v>12</v>
      </c>
      <c r="B14" s="2" t="s">
        <v>11</v>
      </c>
      <c r="C14" s="19">
        <v>121412</v>
      </c>
      <c r="D14" s="4">
        <v>128</v>
      </c>
      <c r="E14" s="7">
        <v>4.6717592592592592E-3</v>
      </c>
      <c r="F14" s="11">
        <f t="shared" si="0"/>
        <v>300.79278565057973</v>
      </c>
      <c r="G14" s="6">
        <f t="shared" si="1"/>
        <v>0.31711426023188982</v>
      </c>
      <c r="H14" s="1" t="s">
        <v>15</v>
      </c>
      <c r="I14" s="5" t="s">
        <v>21</v>
      </c>
      <c r="J14" s="5" t="s">
        <v>19</v>
      </c>
      <c r="K14" s="30" t="s">
        <v>18</v>
      </c>
      <c r="L14" s="5" t="s">
        <v>18</v>
      </c>
    </row>
    <row r="15" spans="1:24" x14ac:dyDescent="0.25">
      <c r="A15" s="1">
        <v>13</v>
      </c>
      <c r="B15" s="2" t="s">
        <v>11</v>
      </c>
      <c r="C15" s="19">
        <v>163986</v>
      </c>
      <c r="D15" s="4">
        <v>162</v>
      </c>
      <c r="E15" s="7">
        <v>6.0715277777777781E-3</v>
      </c>
      <c r="F15" s="11">
        <f t="shared" si="0"/>
        <v>312.60436920965338</v>
      </c>
      <c r="G15" s="6">
        <f t="shared" si="1"/>
        <v>0.30881848335811501</v>
      </c>
      <c r="H15" s="1" t="s">
        <v>14</v>
      </c>
      <c r="I15" s="5" t="s">
        <v>21</v>
      </c>
      <c r="J15" s="5" t="s">
        <v>19</v>
      </c>
      <c r="K15" s="30" t="s">
        <v>18</v>
      </c>
      <c r="L15" s="5" t="s">
        <v>18</v>
      </c>
    </row>
    <row r="16" spans="1:24" x14ac:dyDescent="0.25">
      <c r="A16" s="1">
        <v>14</v>
      </c>
      <c r="B16" s="3" t="s">
        <v>11</v>
      </c>
      <c r="C16" s="19">
        <v>134417</v>
      </c>
      <c r="D16" s="4">
        <v>139</v>
      </c>
      <c r="E16" s="7">
        <v>5.0206018518518516E-3</v>
      </c>
      <c r="F16" s="11">
        <f t="shared" si="0"/>
        <v>309.87366867997605</v>
      </c>
      <c r="G16" s="6">
        <f t="shared" si="1"/>
        <v>0.32043893217760155</v>
      </c>
      <c r="H16" s="1" t="s">
        <v>15</v>
      </c>
      <c r="I16" s="5" t="s">
        <v>21</v>
      </c>
      <c r="J16" s="5" t="s">
        <v>20</v>
      </c>
      <c r="K16" s="4" t="s">
        <v>18</v>
      </c>
      <c r="L16" s="5" t="s">
        <v>18</v>
      </c>
    </row>
    <row r="17" spans="1:24" x14ac:dyDescent="0.25">
      <c r="A17" s="1">
        <v>15</v>
      </c>
      <c r="B17" s="2" t="s">
        <v>11</v>
      </c>
      <c r="C17" s="19">
        <v>157346</v>
      </c>
      <c r="D17" s="4">
        <v>152</v>
      </c>
      <c r="E17" s="7">
        <v>5.5458333333333332E-3</v>
      </c>
      <c r="F17" s="11">
        <f t="shared" si="0"/>
        <v>328.37882961849908</v>
      </c>
      <c r="G17" s="6">
        <f t="shared" si="1"/>
        <v>0.31722180482511064</v>
      </c>
      <c r="H17" s="1" t="s">
        <v>14</v>
      </c>
      <c r="I17" s="5" t="s">
        <v>21</v>
      </c>
      <c r="J17" s="5" t="s">
        <v>20</v>
      </c>
      <c r="K17" s="4" t="s">
        <v>18</v>
      </c>
      <c r="L17" s="5" t="s">
        <v>18</v>
      </c>
    </row>
    <row r="18" spans="1:24" x14ac:dyDescent="0.25">
      <c r="A18" s="1">
        <v>16</v>
      </c>
      <c r="B18" s="2" t="s">
        <v>11</v>
      </c>
      <c r="C18" s="19">
        <v>129799</v>
      </c>
      <c r="D18" s="4">
        <v>134</v>
      </c>
      <c r="E18" s="7">
        <v>4.7111111111111112E-3</v>
      </c>
      <c r="F18" s="11">
        <f t="shared" si="0"/>
        <v>318.88512185534591</v>
      </c>
      <c r="G18" s="6">
        <f t="shared" si="1"/>
        <v>0.32920597484276726</v>
      </c>
      <c r="H18" s="1" t="s">
        <v>15</v>
      </c>
      <c r="I18" s="5" t="s">
        <v>21</v>
      </c>
      <c r="J18" s="5" t="s">
        <v>20</v>
      </c>
      <c r="K18" s="30" t="s">
        <v>18</v>
      </c>
      <c r="L18" s="5" t="s">
        <v>18</v>
      </c>
    </row>
    <row r="19" spans="1:24" x14ac:dyDescent="0.25">
      <c r="A19" s="1">
        <v>17</v>
      </c>
      <c r="B19" s="2" t="s">
        <v>11</v>
      </c>
      <c r="C19" s="19">
        <v>78676</v>
      </c>
      <c r="D19" s="4">
        <v>103</v>
      </c>
      <c r="E19" s="7">
        <v>3.7108796296296295E-3</v>
      </c>
      <c r="F19" s="11">
        <f t="shared" si="0"/>
        <v>245.38706256627782</v>
      </c>
      <c r="G19" s="6">
        <f t="shared" si="1"/>
        <v>0.32125257313954214</v>
      </c>
      <c r="H19" s="1" t="s">
        <v>15</v>
      </c>
      <c r="I19" s="5" t="s">
        <v>21</v>
      </c>
      <c r="J19" s="5" t="s">
        <v>20</v>
      </c>
      <c r="K19" s="30" t="s">
        <v>18</v>
      </c>
      <c r="L19" s="5" t="s">
        <v>18</v>
      </c>
    </row>
    <row r="20" spans="1:24" x14ac:dyDescent="0.25">
      <c r="A20" s="1">
        <v>18</v>
      </c>
      <c r="B20" s="2" t="s">
        <v>11</v>
      </c>
      <c r="C20" s="19">
        <v>61086</v>
      </c>
      <c r="D20" s="4">
        <v>88</v>
      </c>
      <c r="E20" s="7">
        <v>3.295949074074074E-3</v>
      </c>
      <c r="F20" s="11">
        <f t="shared" si="0"/>
        <v>214.50995540260561</v>
      </c>
      <c r="G20" s="6">
        <f t="shared" si="1"/>
        <v>0.30902131544755418</v>
      </c>
      <c r="H20" s="1" t="s">
        <v>15</v>
      </c>
      <c r="I20" s="5" t="s">
        <v>21</v>
      </c>
      <c r="J20" s="5" t="s">
        <v>20</v>
      </c>
      <c r="K20" s="30" t="s">
        <v>18</v>
      </c>
      <c r="L20" s="5" t="s">
        <v>18</v>
      </c>
    </row>
    <row r="21" spans="1:24" x14ac:dyDescent="0.25">
      <c r="A21" s="1">
        <v>19</v>
      </c>
      <c r="B21" s="2" t="s">
        <v>11</v>
      </c>
      <c r="C21" s="19">
        <v>16444</v>
      </c>
      <c r="D21" s="4">
        <v>43</v>
      </c>
      <c r="E21" s="7">
        <v>1.8768518518518518E-3</v>
      </c>
      <c r="F21" s="11">
        <f t="shared" si="0"/>
        <v>101.40601874691663</v>
      </c>
      <c r="G21" s="6">
        <f t="shared" si="1"/>
        <v>0.26517020226936361</v>
      </c>
      <c r="H21" s="1" t="s">
        <v>17</v>
      </c>
      <c r="I21" s="5" t="s">
        <v>21</v>
      </c>
      <c r="J21" s="5" t="s">
        <v>20</v>
      </c>
      <c r="K21" s="4" t="s">
        <v>18</v>
      </c>
      <c r="L21" s="5" t="s">
        <v>18</v>
      </c>
    </row>
    <row r="22" spans="1:24" x14ac:dyDescent="0.25">
      <c r="A22" s="1">
        <v>20</v>
      </c>
      <c r="B22" s="2" t="s">
        <v>11</v>
      </c>
      <c r="C22" s="19">
        <v>292930</v>
      </c>
      <c r="D22" s="4">
        <v>227</v>
      </c>
      <c r="E22" s="7">
        <v>8.1607638888888893E-3</v>
      </c>
      <c r="F22" s="11">
        <f t="shared" si="0"/>
        <v>415.450509863989</v>
      </c>
      <c r="G22" s="6">
        <f t="shared" si="1"/>
        <v>0.32194471627735466</v>
      </c>
      <c r="H22" s="1" t="s">
        <v>14</v>
      </c>
      <c r="I22" s="5" t="s">
        <v>21</v>
      </c>
      <c r="J22" s="5" t="s">
        <v>20</v>
      </c>
      <c r="K22" s="4" t="s">
        <v>18</v>
      </c>
      <c r="L22" s="5" t="s">
        <v>18</v>
      </c>
    </row>
    <row r="23" spans="1:24" x14ac:dyDescent="0.25">
      <c r="A23" s="1">
        <v>21</v>
      </c>
      <c r="B23" s="2" t="s">
        <v>11</v>
      </c>
      <c r="C23" s="19">
        <v>62968</v>
      </c>
      <c r="D23" s="4">
        <v>93</v>
      </c>
      <c r="E23" s="7">
        <v>3.6574074074074074E-3</v>
      </c>
      <c r="F23" s="11">
        <f t="shared" si="0"/>
        <v>199.26582278481013</v>
      </c>
      <c r="G23" s="6">
        <f t="shared" si="1"/>
        <v>0.29430379746835444</v>
      </c>
      <c r="H23" s="1" t="s">
        <v>15</v>
      </c>
      <c r="I23" s="5" t="s">
        <v>22</v>
      </c>
      <c r="J23" s="5" t="s">
        <v>19</v>
      </c>
      <c r="K23" s="30" t="s">
        <v>18</v>
      </c>
      <c r="L23" s="5" t="s">
        <v>18</v>
      </c>
    </row>
    <row r="24" spans="1:24" x14ac:dyDescent="0.25">
      <c r="A24" s="1">
        <v>22</v>
      </c>
      <c r="B24" s="2" t="s">
        <v>11</v>
      </c>
      <c r="C24" s="19">
        <v>231920</v>
      </c>
      <c r="D24" s="4">
        <v>196</v>
      </c>
      <c r="E24" s="7">
        <v>7.364930555555556E-3</v>
      </c>
      <c r="F24" s="11">
        <f t="shared" si="0"/>
        <v>364.46497886316848</v>
      </c>
      <c r="G24" s="6">
        <f t="shared" si="1"/>
        <v>0.30801628086055977</v>
      </c>
      <c r="H24" s="1" t="s">
        <v>14</v>
      </c>
      <c r="I24" s="5" t="s">
        <v>22</v>
      </c>
      <c r="J24" s="5" t="s">
        <v>19</v>
      </c>
      <c r="K24" s="30" t="s">
        <v>18</v>
      </c>
      <c r="L24" s="5" t="s">
        <v>18</v>
      </c>
    </row>
    <row r="25" spans="1:24" x14ac:dyDescent="0.25">
      <c r="A25" s="1">
        <v>23</v>
      </c>
      <c r="B25" s="2" t="s">
        <v>11</v>
      </c>
      <c r="C25" s="19">
        <v>80212</v>
      </c>
      <c r="D25" s="4">
        <v>106</v>
      </c>
      <c r="E25" s="7">
        <v>4.2960648148148151E-3</v>
      </c>
      <c r="F25" s="11">
        <f t="shared" si="0"/>
        <v>216.10000538822135</v>
      </c>
      <c r="G25" s="6">
        <f t="shared" si="1"/>
        <v>0.28557573145104798</v>
      </c>
      <c r="H25" s="1" t="s">
        <v>15</v>
      </c>
      <c r="I25" s="5" t="s">
        <v>22</v>
      </c>
      <c r="J25" s="5" t="s">
        <v>19</v>
      </c>
      <c r="K25" s="30" t="s">
        <v>18</v>
      </c>
      <c r="L25" s="5" t="s">
        <v>18</v>
      </c>
    </row>
    <row r="26" spans="1:24" x14ac:dyDescent="0.25">
      <c r="A26" s="1">
        <v>24</v>
      </c>
      <c r="B26" s="2" t="s">
        <v>11</v>
      </c>
      <c r="C26" s="19">
        <v>166494</v>
      </c>
      <c r="D26" s="4">
        <v>158</v>
      </c>
      <c r="E26" s="7">
        <v>5.9732638888888891E-3</v>
      </c>
      <c r="F26" s="11">
        <f t="shared" si="0"/>
        <v>322.60652211823515</v>
      </c>
      <c r="G26" s="6">
        <f t="shared" si="1"/>
        <v>0.30614815245402932</v>
      </c>
      <c r="H26" s="1" t="s">
        <v>14</v>
      </c>
      <c r="I26" s="5" t="s">
        <v>22</v>
      </c>
      <c r="J26" s="5" t="s">
        <v>19</v>
      </c>
      <c r="K26" s="4" t="s">
        <v>18</v>
      </c>
      <c r="L26" s="5" t="s">
        <v>18</v>
      </c>
    </row>
    <row r="27" spans="1:24" x14ac:dyDescent="0.25">
      <c r="A27" s="1">
        <v>25</v>
      </c>
      <c r="B27" s="2" t="s">
        <v>11</v>
      </c>
      <c r="C27" s="19">
        <v>87058</v>
      </c>
      <c r="D27" s="4">
        <v>110</v>
      </c>
      <c r="E27" s="7">
        <v>4.1811342592592594E-3</v>
      </c>
      <c r="F27" s="11">
        <f t="shared" si="0"/>
        <v>240.99100346020762</v>
      </c>
      <c r="G27" s="6">
        <f t="shared" si="1"/>
        <v>0.30449826989619377</v>
      </c>
      <c r="H27" s="1" t="s">
        <v>15</v>
      </c>
      <c r="I27" s="5" t="s">
        <v>22</v>
      </c>
      <c r="J27" s="5" t="s">
        <v>20</v>
      </c>
      <c r="K27" s="4" t="s">
        <v>18</v>
      </c>
      <c r="L27" s="5" t="s">
        <v>18</v>
      </c>
    </row>
    <row r="28" spans="1:24" x14ac:dyDescent="0.25">
      <c r="A28" s="1">
        <v>26</v>
      </c>
      <c r="B28" s="2" t="s">
        <v>11</v>
      </c>
      <c r="C28" s="19">
        <v>121456</v>
      </c>
      <c r="D28" s="4">
        <v>136</v>
      </c>
      <c r="E28" s="7">
        <v>5.2252314814814809E-3</v>
      </c>
      <c r="F28" s="11">
        <f t="shared" si="0"/>
        <v>269.02937137287915</v>
      </c>
      <c r="G28" s="6">
        <f t="shared" si="1"/>
        <v>0.30124485004208573</v>
      </c>
      <c r="H28" s="1" t="s">
        <v>15</v>
      </c>
      <c r="I28" s="5" t="s">
        <v>22</v>
      </c>
      <c r="J28" s="5" t="s">
        <v>20</v>
      </c>
      <c r="K28" s="30" t="s">
        <v>18</v>
      </c>
      <c r="L28" s="5" t="s">
        <v>18</v>
      </c>
    </row>
    <row r="29" spans="1:24" x14ac:dyDescent="0.25">
      <c r="A29" s="1">
        <v>27</v>
      </c>
      <c r="B29" s="2" t="s">
        <v>11</v>
      </c>
      <c r="C29" s="19">
        <v>219928</v>
      </c>
      <c r="D29" s="4">
        <v>186</v>
      </c>
      <c r="E29" s="7">
        <v>7.3685185185185182E-3</v>
      </c>
      <c r="F29" s="11">
        <f t="shared" si="0"/>
        <v>345.45111837145009</v>
      </c>
      <c r="G29" s="6">
        <f t="shared" si="1"/>
        <v>0.29215883387785879</v>
      </c>
      <c r="H29" s="1" t="s">
        <v>14</v>
      </c>
      <c r="I29" s="5" t="s">
        <v>22</v>
      </c>
      <c r="J29" s="5" t="s">
        <v>20</v>
      </c>
      <c r="K29" s="30" t="s">
        <v>18</v>
      </c>
      <c r="L29" s="5" t="s">
        <v>18</v>
      </c>
      <c r="M29" s="25" t="s">
        <v>11</v>
      </c>
      <c r="N29" s="4">
        <v>146800.22727272726</v>
      </c>
      <c r="O29" s="4">
        <v>142.54545454545453</v>
      </c>
      <c r="P29" s="7">
        <v>5.2954755892255893E-3</v>
      </c>
      <c r="Q29" s="11">
        <v>297.22608172143913</v>
      </c>
      <c r="R29" s="6">
        <v>0.30884644354487006</v>
      </c>
      <c r="T29" s="12"/>
      <c r="U29" s="12"/>
      <c r="V29" s="8"/>
      <c r="W29" s="23"/>
      <c r="X29" s="26"/>
    </row>
    <row r="30" spans="1:24" x14ac:dyDescent="0.25">
      <c r="A30" s="1">
        <v>28</v>
      </c>
      <c r="B30" s="2" t="s">
        <v>12</v>
      </c>
      <c r="C30" s="19">
        <v>155222</v>
      </c>
      <c r="D30" s="4">
        <v>152</v>
      </c>
      <c r="E30" s="7">
        <v>5.5697916666666665E-3</v>
      </c>
      <c r="F30" s="11">
        <f t="shared" si="0"/>
        <v>322.55262556365983</v>
      </c>
      <c r="G30" s="6">
        <f t="shared" si="1"/>
        <v>0.31585728238056648</v>
      </c>
      <c r="H30" s="1" t="s">
        <v>14</v>
      </c>
      <c r="I30" s="5" t="s">
        <v>21</v>
      </c>
      <c r="J30" s="5" t="s">
        <v>19</v>
      </c>
      <c r="K30" s="30" t="s">
        <v>18</v>
      </c>
      <c r="L30" s="5" t="s">
        <v>18</v>
      </c>
    </row>
    <row r="31" spans="1:24" x14ac:dyDescent="0.25">
      <c r="A31" s="1">
        <v>29</v>
      </c>
      <c r="B31" s="2" t="s">
        <v>12</v>
      </c>
      <c r="C31" s="19">
        <v>241722</v>
      </c>
      <c r="D31" s="4">
        <v>197</v>
      </c>
      <c r="E31" s="7">
        <v>7.4854166666666671E-3</v>
      </c>
      <c r="F31" s="11">
        <f t="shared" si="0"/>
        <v>373.75452268299472</v>
      </c>
      <c r="G31" s="6">
        <f t="shared" si="1"/>
        <v>0.3046046324643597</v>
      </c>
      <c r="H31" s="1" t="s">
        <v>14</v>
      </c>
      <c r="I31" s="5" t="s">
        <v>21</v>
      </c>
      <c r="J31" s="5" t="s">
        <v>19</v>
      </c>
      <c r="K31" s="4" t="s">
        <v>18</v>
      </c>
      <c r="L31" s="5" t="s">
        <v>18</v>
      </c>
    </row>
    <row r="32" spans="1:24" x14ac:dyDescent="0.25">
      <c r="A32" s="1">
        <v>30</v>
      </c>
      <c r="B32" s="2" t="s">
        <v>12</v>
      </c>
      <c r="C32" s="19">
        <v>201454</v>
      </c>
      <c r="D32" s="4">
        <v>173</v>
      </c>
      <c r="E32" s="7">
        <v>6.2818287037037035E-3</v>
      </c>
      <c r="F32" s="11">
        <f t="shared" si="0"/>
        <v>371.17273146015663</v>
      </c>
      <c r="G32" s="6">
        <f t="shared" si="1"/>
        <v>0.31874712114233072</v>
      </c>
      <c r="H32" s="1" t="s">
        <v>14</v>
      </c>
      <c r="I32" s="5" t="s">
        <v>21</v>
      </c>
      <c r="J32" s="5" t="s">
        <v>19</v>
      </c>
      <c r="K32" s="4" t="s">
        <v>18</v>
      </c>
      <c r="L32" s="5" t="s">
        <v>18</v>
      </c>
      <c r="M32" s="25" t="s">
        <v>12</v>
      </c>
      <c r="N32" s="4">
        <v>199466</v>
      </c>
      <c r="O32" s="4">
        <v>174</v>
      </c>
      <c r="P32" s="7">
        <v>6.4456790123456802E-3</v>
      </c>
      <c r="Q32" s="11">
        <v>355.82662656893734</v>
      </c>
      <c r="R32" s="6">
        <v>0.31306967866241897</v>
      </c>
    </row>
    <row r="33" spans="1:18" x14ac:dyDescent="0.25">
      <c r="A33" s="1">
        <v>31</v>
      </c>
      <c r="B33" s="2" t="s">
        <v>13</v>
      </c>
      <c r="C33" s="19">
        <v>239356</v>
      </c>
      <c r="D33" s="4">
        <v>192</v>
      </c>
      <c r="E33" s="7">
        <v>7.1409722222222222E-3</v>
      </c>
      <c r="F33" s="11">
        <f t="shared" si="0"/>
        <v>387.94774546986935</v>
      </c>
      <c r="G33" s="6">
        <f t="shared" si="1"/>
        <v>0.31119323154721384</v>
      </c>
      <c r="H33" s="1" t="s">
        <v>14</v>
      </c>
      <c r="I33" s="5" t="s">
        <v>21</v>
      </c>
      <c r="J33" s="5" t="s">
        <v>19</v>
      </c>
      <c r="K33" s="30" t="s">
        <v>18</v>
      </c>
      <c r="L33" s="5" t="s">
        <v>18</v>
      </c>
    </row>
    <row r="34" spans="1:18" x14ac:dyDescent="0.25">
      <c r="A34" s="1">
        <v>32</v>
      </c>
      <c r="B34" s="2" t="s">
        <v>13</v>
      </c>
      <c r="C34" s="19">
        <v>153274</v>
      </c>
      <c r="D34" s="4">
        <v>151</v>
      </c>
      <c r="E34" s="7">
        <v>5.6288194444444441E-3</v>
      </c>
      <c r="F34" s="11">
        <f t="shared" si="0"/>
        <v>315.16460016860981</v>
      </c>
      <c r="G34" s="6">
        <f t="shared" si="1"/>
        <v>0.31048876277424797</v>
      </c>
      <c r="H34" s="1" t="s">
        <v>14</v>
      </c>
      <c r="I34" s="5" t="s">
        <v>21</v>
      </c>
      <c r="J34" s="5" t="s">
        <v>19</v>
      </c>
      <c r="K34" s="30" t="s">
        <v>18</v>
      </c>
      <c r="L34" s="5" t="s">
        <v>18</v>
      </c>
    </row>
    <row r="35" spans="1:18" x14ac:dyDescent="0.25">
      <c r="A35" s="1">
        <v>33</v>
      </c>
      <c r="B35" s="2" t="s">
        <v>13</v>
      </c>
      <c r="C35" s="19">
        <v>193983</v>
      </c>
      <c r="D35" s="4">
        <v>172</v>
      </c>
      <c r="E35" s="7">
        <v>6.3140046296296295E-3</v>
      </c>
      <c r="F35" s="11">
        <f t="shared" si="0"/>
        <v>355.58631056037251</v>
      </c>
      <c r="G35" s="6">
        <f t="shared" si="1"/>
        <v>0.31528971825564134</v>
      </c>
      <c r="H35" s="1" t="s">
        <v>14</v>
      </c>
      <c r="I35" s="5" t="s">
        <v>21</v>
      </c>
      <c r="J35" s="5" t="s">
        <v>19</v>
      </c>
      <c r="K35" s="30" t="s">
        <v>18</v>
      </c>
      <c r="L35" s="5" t="s">
        <v>18</v>
      </c>
    </row>
    <row r="36" spans="1:18" x14ac:dyDescent="0.25">
      <c r="A36" s="1">
        <v>34</v>
      </c>
      <c r="B36" s="2" t="s">
        <v>13</v>
      </c>
      <c r="C36" s="19">
        <v>199554</v>
      </c>
      <c r="D36" s="4">
        <v>173</v>
      </c>
      <c r="E36" s="7">
        <v>6.1733796296296294E-3</v>
      </c>
      <c r="F36" s="11">
        <f t="shared" si="0"/>
        <v>374.13101353631555</v>
      </c>
      <c r="G36" s="6">
        <f t="shared" si="1"/>
        <v>0.32434661967077882</v>
      </c>
      <c r="H36" s="1" t="s">
        <v>14</v>
      </c>
      <c r="I36" s="5" t="s">
        <v>21</v>
      </c>
      <c r="J36" s="5" t="s">
        <v>19</v>
      </c>
      <c r="K36" s="4" t="s">
        <v>18</v>
      </c>
      <c r="L36" s="5" t="s">
        <v>18</v>
      </c>
    </row>
    <row r="37" spans="1:18" x14ac:dyDescent="0.25">
      <c r="A37" s="1">
        <v>35</v>
      </c>
      <c r="B37" s="2" t="s">
        <v>13</v>
      </c>
      <c r="C37" s="19">
        <v>162036</v>
      </c>
      <c r="D37" s="4">
        <v>157</v>
      </c>
      <c r="E37" s="7">
        <v>5.6724537037037039E-3</v>
      </c>
      <c r="F37" s="11">
        <f t="shared" si="0"/>
        <v>330.61824117527033</v>
      </c>
      <c r="G37" s="6">
        <f t="shared" si="1"/>
        <v>0.3203427871862885</v>
      </c>
      <c r="H37" s="1" t="s">
        <v>14</v>
      </c>
      <c r="I37" s="5" t="s">
        <v>21</v>
      </c>
      <c r="J37" s="5" t="s">
        <v>19</v>
      </c>
      <c r="K37" s="4" t="s">
        <v>18</v>
      </c>
      <c r="L37" s="5" t="s">
        <v>18</v>
      </c>
      <c r="M37" s="25" t="s">
        <v>13</v>
      </c>
      <c r="N37" s="4">
        <v>189640.6</v>
      </c>
      <c r="O37" s="4">
        <v>169</v>
      </c>
      <c r="P37" s="7">
        <v>6.1859259259259254E-3</v>
      </c>
      <c r="Q37" s="11">
        <v>352.68958218208758</v>
      </c>
      <c r="R37" s="6">
        <v>0.31633222388683419</v>
      </c>
    </row>
    <row r="38" spans="1:18" x14ac:dyDescent="0.25">
      <c r="A38" s="1">
        <v>36</v>
      </c>
      <c r="B38" s="2" t="s">
        <v>23</v>
      </c>
      <c r="C38" s="19">
        <v>160174</v>
      </c>
      <c r="D38" s="4">
        <v>155</v>
      </c>
      <c r="E38" s="8">
        <v>5.8914351851851853E-3</v>
      </c>
      <c r="F38" s="11">
        <f t="shared" si="0"/>
        <v>314.67132922085574</v>
      </c>
      <c r="G38" s="6">
        <f t="shared" si="1"/>
        <v>0.30450669914738121</v>
      </c>
      <c r="H38" s="1" t="s">
        <v>14</v>
      </c>
      <c r="I38" s="5" t="s">
        <v>21</v>
      </c>
      <c r="J38" s="5" t="s">
        <v>20</v>
      </c>
      <c r="K38" s="30" t="s">
        <v>18</v>
      </c>
      <c r="L38" s="5" t="s">
        <v>18</v>
      </c>
    </row>
    <row r="39" spans="1:18" x14ac:dyDescent="0.25">
      <c r="A39" s="1">
        <v>37</v>
      </c>
      <c r="B39" s="2" t="s">
        <v>23</v>
      </c>
      <c r="C39" s="19">
        <v>173687</v>
      </c>
      <c r="D39" s="4">
        <v>161</v>
      </c>
      <c r="E39" s="8">
        <v>5.8184027777777774E-3</v>
      </c>
      <c r="F39" s="11">
        <f t="shared" si="0"/>
        <v>345.50138250681312</v>
      </c>
      <c r="G39" s="6">
        <f t="shared" si="1"/>
        <v>0.320264168208311</v>
      </c>
      <c r="H39" s="1" t="s">
        <v>14</v>
      </c>
      <c r="I39" s="5" t="s">
        <v>21</v>
      </c>
      <c r="J39" s="5" t="s">
        <v>20</v>
      </c>
      <c r="K39" s="30" t="s">
        <v>18</v>
      </c>
      <c r="L39" s="5" t="s">
        <v>18</v>
      </c>
    </row>
    <row r="40" spans="1:18" x14ac:dyDescent="0.25">
      <c r="A40" s="1">
        <v>38</v>
      </c>
      <c r="B40" s="2" t="s">
        <v>23</v>
      </c>
      <c r="C40" s="19">
        <v>139937</v>
      </c>
      <c r="D40" s="4">
        <v>145</v>
      </c>
      <c r="E40" s="8">
        <v>5.186689814814815E-3</v>
      </c>
      <c r="F40" s="11">
        <f t="shared" si="0"/>
        <v>312.26876129694506</v>
      </c>
      <c r="G40" s="6">
        <f t="shared" ref="G40:G51" si="2">D40/(E40*86400)</f>
        <v>0.32356682212750765</v>
      </c>
      <c r="H40" s="1" t="s">
        <v>15</v>
      </c>
      <c r="I40" s="5" t="s">
        <v>21</v>
      </c>
      <c r="J40" s="5" t="s">
        <v>20</v>
      </c>
      <c r="K40" s="30" t="s">
        <v>18</v>
      </c>
      <c r="L40" s="5" t="s">
        <v>18</v>
      </c>
    </row>
    <row r="41" spans="1:18" x14ac:dyDescent="0.25">
      <c r="A41" s="1">
        <v>39</v>
      </c>
      <c r="B41" s="2" t="s">
        <v>23</v>
      </c>
      <c r="C41" s="19">
        <v>157165</v>
      </c>
      <c r="D41" s="4">
        <v>159</v>
      </c>
      <c r="E41" s="8">
        <v>6.4180555555555553E-3</v>
      </c>
      <c r="F41" s="11">
        <f t="shared" ref="F41:F47" si="3">C41/(E41*86400)</f>
        <v>283.4253047680877</v>
      </c>
      <c r="G41" s="6">
        <f t="shared" si="2"/>
        <v>0.28673447305777972</v>
      </c>
      <c r="H41" s="1" t="s">
        <v>14</v>
      </c>
      <c r="I41" s="1" t="s">
        <v>22</v>
      </c>
      <c r="J41" t="s">
        <v>20</v>
      </c>
      <c r="K41" s="4" t="s">
        <v>18</v>
      </c>
      <c r="L41" s="5" t="s">
        <v>18</v>
      </c>
    </row>
    <row r="42" spans="1:18" x14ac:dyDescent="0.25">
      <c r="A42" s="1">
        <v>40</v>
      </c>
      <c r="B42" s="2" t="s">
        <v>23</v>
      </c>
      <c r="C42" s="19">
        <v>594837</v>
      </c>
      <c r="D42" s="4">
        <v>393</v>
      </c>
      <c r="E42" s="8">
        <v>1.446400462962963E-2</v>
      </c>
      <c r="F42" s="11">
        <f t="shared" si="3"/>
        <v>475.9876449359441</v>
      </c>
      <c r="G42" s="6">
        <f t="shared" si="2"/>
        <v>0.31447799054165432</v>
      </c>
      <c r="H42" s="1" t="s">
        <v>24</v>
      </c>
      <c r="I42" s="1" t="s">
        <v>22</v>
      </c>
      <c r="J42" t="s">
        <v>20</v>
      </c>
      <c r="K42" s="4" t="s">
        <v>18</v>
      </c>
      <c r="L42" s="5" t="s">
        <v>18</v>
      </c>
    </row>
    <row r="43" spans="1:18" x14ac:dyDescent="0.25">
      <c r="A43" s="1">
        <v>41</v>
      </c>
      <c r="B43" s="2" t="s">
        <v>23</v>
      </c>
      <c r="C43" s="19">
        <v>116141</v>
      </c>
      <c r="D43" s="4">
        <v>129</v>
      </c>
      <c r="E43" s="8">
        <v>4.6209490740740742E-3</v>
      </c>
      <c r="F43" s="11">
        <f t="shared" si="3"/>
        <v>290.89793362554792</v>
      </c>
      <c r="G43" s="6">
        <f t="shared" si="2"/>
        <v>0.32310582341891048</v>
      </c>
      <c r="H43" s="1" t="s">
        <v>15</v>
      </c>
      <c r="I43" s="1" t="s">
        <v>22</v>
      </c>
      <c r="J43" t="s">
        <v>20</v>
      </c>
      <c r="K43" s="30" t="s">
        <v>18</v>
      </c>
      <c r="L43" s="5" t="s">
        <v>18</v>
      </c>
    </row>
    <row r="44" spans="1:18" x14ac:dyDescent="0.25">
      <c r="A44" s="1">
        <v>42</v>
      </c>
      <c r="B44" s="2" t="s">
        <v>23</v>
      </c>
      <c r="C44" s="19">
        <v>294072</v>
      </c>
      <c r="D44" s="4">
        <v>229</v>
      </c>
      <c r="E44" s="8">
        <v>8.3798611111111105E-3</v>
      </c>
      <c r="F44" s="11">
        <f t="shared" si="3"/>
        <v>406.16557553658743</v>
      </c>
      <c r="G44" s="6">
        <f t="shared" si="2"/>
        <v>0.31628960525952321</v>
      </c>
      <c r="H44" s="1" t="s">
        <v>14</v>
      </c>
      <c r="I44" s="1" t="s">
        <v>22</v>
      </c>
      <c r="J44" t="s">
        <v>20</v>
      </c>
      <c r="K44" s="30" t="s">
        <v>18</v>
      </c>
      <c r="L44" s="5" t="s">
        <v>18</v>
      </c>
    </row>
    <row r="45" spans="1:18" x14ac:dyDescent="0.25">
      <c r="A45" s="1">
        <v>43</v>
      </c>
      <c r="B45" s="2" t="s">
        <v>23</v>
      </c>
      <c r="C45" s="19">
        <v>98190</v>
      </c>
      <c r="D45" s="4">
        <v>117</v>
      </c>
      <c r="E45" s="8">
        <v>4.4034722222222218E-3</v>
      </c>
      <c r="F45" s="11">
        <f t="shared" si="3"/>
        <v>258.08232140041002</v>
      </c>
      <c r="G45" s="6">
        <f t="shared" si="2"/>
        <v>0.30752247279608896</v>
      </c>
      <c r="H45" s="1" t="s">
        <v>15</v>
      </c>
      <c r="I45" s="1" t="s">
        <v>22</v>
      </c>
      <c r="J45" t="s">
        <v>20</v>
      </c>
      <c r="K45" s="30" t="s">
        <v>18</v>
      </c>
      <c r="L45" s="5" t="s">
        <v>18</v>
      </c>
      <c r="M45" s="25" t="s">
        <v>23</v>
      </c>
      <c r="N45" s="4">
        <v>216775.375</v>
      </c>
      <c r="O45" s="4">
        <v>186</v>
      </c>
      <c r="P45" s="7">
        <v>6.8978587962962926E-3</v>
      </c>
      <c r="Q45" s="11">
        <v>335.87503166139885</v>
      </c>
      <c r="R45" s="6">
        <v>0.31205850681964448</v>
      </c>
    </row>
    <row r="46" spans="1:18" x14ac:dyDescent="0.25">
      <c r="A46" s="1">
        <v>44</v>
      </c>
      <c r="B46" s="2" t="s">
        <v>38</v>
      </c>
      <c r="C46" s="19">
        <v>199736</v>
      </c>
      <c r="D46" s="4">
        <v>178</v>
      </c>
      <c r="E46" s="8">
        <v>6.1802083333333336E-3</v>
      </c>
      <c r="F46" s="11">
        <f t="shared" si="3"/>
        <v>374.0584677041781</v>
      </c>
      <c r="G46" s="6">
        <f t="shared" si="2"/>
        <v>0.33335206097720843</v>
      </c>
      <c r="H46" s="1" t="s">
        <v>14</v>
      </c>
      <c r="I46" s="1" t="s">
        <v>21</v>
      </c>
      <c r="J46" t="s">
        <v>20</v>
      </c>
      <c r="K46" s="4">
        <v>1</v>
      </c>
      <c r="L46" s="10">
        <v>15</v>
      </c>
    </row>
    <row r="47" spans="1:18" x14ac:dyDescent="0.25">
      <c r="A47" s="1">
        <v>45</v>
      </c>
      <c r="B47" s="2" t="s">
        <v>38</v>
      </c>
      <c r="C47" s="19">
        <v>129006</v>
      </c>
      <c r="D47" s="4">
        <v>134</v>
      </c>
      <c r="E47" s="8">
        <v>4.7262731481481487E-3</v>
      </c>
      <c r="F47" s="11">
        <f t="shared" si="3"/>
        <v>315.92016652381534</v>
      </c>
      <c r="G47" s="6">
        <f t="shared" si="2"/>
        <v>0.32814987143381902</v>
      </c>
      <c r="H47" s="1" t="s">
        <v>15</v>
      </c>
      <c r="I47" s="1" t="s">
        <v>21</v>
      </c>
      <c r="J47" t="s">
        <v>20</v>
      </c>
      <c r="K47" s="4">
        <v>1</v>
      </c>
      <c r="L47" s="10">
        <v>14</v>
      </c>
      <c r="M47" s="25" t="s">
        <v>38</v>
      </c>
      <c r="N47" s="4">
        <v>164371</v>
      </c>
      <c r="O47" s="4">
        <v>156</v>
      </c>
      <c r="P47" s="7">
        <v>5.4532407407407394E-3</v>
      </c>
      <c r="Q47" s="11">
        <v>344.98931711399649</v>
      </c>
      <c r="R47" s="6">
        <v>0.33075096620551347</v>
      </c>
    </row>
    <row r="48" spans="1:18" x14ac:dyDescent="0.25">
      <c r="A48" s="1">
        <v>46</v>
      </c>
      <c r="B48" s="2" t="s">
        <v>40</v>
      </c>
      <c r="C48" s="19">
        <v>186934</v>
      </c>
      <c r="D48" s="4">
        <v>168</v>
      </c>
      <c r="E48" s="8">
        <v>6.171643518518519E-3</v>
      </c>
      <c r="F48" s="11">
        <f t="shared" ref="F48:F51" si="4">C48/(E48*86400)</f>
        <v>350.56917277722556</v>
      </c>
      <c r="G48" s="6">
        <f t="shared" si="2"/>
        <v>0.3150610430770962</v>
      </c>
      <c r="H48" s="1" t="s">
        <v>14</v>
      </c>
      <c r="I48" s="1" t="s">
        <v>22</v>
      </c>
      <c r="J48" t="s">
        <v>19</v>
      </c>
      <c r="K48" s="4">
        <v>1</v>
      </c>
      <c r="L48" s="10">
        <v>15</v>
      </c>
      <c r="M48" s="25" t="s">
        <v>40</v>
      </c>
      <c r="N48" s="4">
        <v>186934</v>
      </c>
      <c r="O48" s="4">
        <v>168</v>
      </c>
      <c r="P48" s="7">
        <v>6.1716435185185199E-3</v>
      </c>
      <c r="Q48" s="11">
        <v>350.56917277722602</v>
      </c>
      <c r="R48" s="6">
        <v>0.31506104307709598</v>
      </c>
    </row>
    <row r="49" spans="1:18" x14ac:dyDescent="0.25">
      <c r="A49" s="1">
        <v>47</v>
      </c>
      <c r="B49" s="2" t="s">
        <v>41</v>
      </c>
      <c r="C49" s="19">
        <v>97543</v>
      </c>
      <c r="D49" s="4">
        <v>120</v>
      </c>
      <c r="E49" s="8">
        <v>4.7850694444444442E-3</v>
      </c>
      <c r="F49" s="11">
        <f t="shared" si="4"/>
        <v>235.93595046319811</v>
      </c>
      <c r="G49" s="6">
        <f t="shared" si="2"/>
        <v>0.29025469849793195</v>
      </c>
      <c r="H49" s="1" t="s">
        <v>15</v>
      </c>
      <c r="I49" s="1" t="s">
        <v>21</v>
      </c>
      <c r="J49" t="s">
        <v>19</v>
      </c>
      <c r="K49" s="4">
        <v>1</v>
      </c>
      <c r="L49" s="10">
        <v>13</v>
      </c>
    </row>
    <row r="50" spans="1:18" x14ac:dyDescent="0.25">
      <c r="A50" s="1">
        <v>48</v>
      </c>
      <c r="B50" s="2" t="s">
        <v>41</v>
      </c>
      <c r="C50" s="19">
        <v>434490</v>
      </c>
      <c r="D50" s="4">
        <v>292</v>
      </c>
      <c r="E50" s="8">
        <v>1.1069444444444444E-2</v>
      </c>
      <c r="F50" s="11">
        <f t="shared" si="4"/>
        <v>454.29736511919702</v>
      </c>
      <c r="G50" s="6">
        <f t="shared" si="2"/>
        <v>0.30531158511083228</v>
      </c>
      <c r="H50" s="1" t="s">
        <v>16</v>
      </c>
      <c r="I50" s="1" t="s">
        <v>21</v>
      </c>
      <c r="J50" t="s">
        <v>19</v>
      </c>
      <c r="K50" s="4">
        <v>1</v>
      </c>
      <c r="L50" s="10">
        <v>15</v>
      </c>
      <c r="M50" s="25" t="s">
        <v>41</v>
      </c>
      <c r="N50" s="4">
        <v>266016.5</v>
      </c>
      <c r="O50" s="4">
        <v>206</v>
      </c>
      <c r="P50" s="7">
        <v>7.9272569444444208E-3</v>
      </c>
      <c r="Q50" s="11">
        <v>345.1166577911975</v>
      </c>
      <c r="R50" s="6">
        <v>0.29778314180438203</v>
      </c>
    </row>
    <row r="51" spans="1:18" x14ac:dyDescent="0.25">
      <c r="A51" s="1">
        <v>49</v>
      </c>
      <c r="B51" s="2" t="s">
        <v>42</v>
      </c>
      <c r="C51" s="19">
        <v>241658</v>
      </c>
      <c r="D51" s="4">
        <v>196</v>
      </c>
      <c r="E51" s="8">
        <v>7.2054398148148147E-3</v>
      </c>
      <c r="F51" s="11">
        <f t="shared" si="4"/>
        <v>388.17444381977356</v>
      </c>
      <c r="G51" s="6">
        <f t="shared" si="2"/>
        <v>0.31483414986748054</v>
      </c>
      <c r="H51" s="1" t="s">
        <v>14</v>
      </c>
      <c r="I51" s="1" t="s">
        <v>21</v>
      </c>
      <c r="J51" t="s">
        <v>20</v>
      </c>
      <c r="K51" s="18">
        <v>1</v>
      </c>
      <c r="M51" s="25" t="s">
        <v>42</v>
      </c>
      <c r="N51" s="4">
        <v>241658</v>
      </c>
      <c r="O51" s="4">
        <v>196</v>
      </c>
      <c r="P51" s="7">
        <v>7.2054398148148104E-3</v>
      </c>
      <c r="Q51" s="11">
        <v>388.17444381977401</v>
      </c>
      <c r="R51" s="6">
        <v>0.31483414986748098</v>
      </c>
    </row>
    <row r="52" spans="1:18" x14ac:dyDescent="0.25">
      <c r="A52" s="1">
        <v>50</v>
      </c>
    </row>
    <row r="53" spans="1:18" x14ac:dyDescent="0.25">
      <c r="A53" s="1">
        <v>51</v>
      </c>
    </row>
    <row r="54" spans="1:18" x14ac:dyDescent="0.25">
      <c r="A54" s="1">
        <v>52</v>
      </c>
    </row>
    <row r="55" spans="1:18" x14ac:dyDescent="0.25">
      <c r="A55" s="1">
        <v>53</v>
      </c>
    </row>
    <row r="56" spans="1:18" x14ac:dyDescent="0.25">
      <c r="A56" s="1">
        <v>54</v>
      </c>
    </row>
    <row r="57" spans="1:18" x14ac:dyDescent="0.25">
      <c r="A57" s="1">
        <v>55</v>
      </c>
    </row>
    <row r="58" spans="1:18" x14ac:dyDescent="0.25">
      <c r="A58" s="1">
        <v>56</v>
      </c>
    </row>
    <row r="59" spans="1:18" x14ac:dyDescent="0.25">
      <c r="A59" s="1">
        <v>57</v>
      </c>
    </row>
    <row r="60" spans="1:18" x14ac:dyDescent="0.25">
      <c r="A60" s="1">
        <v>58</v>
      </c>
    </row>
    <row r="61" spans="1:18" x14ac:dyDescent="0.25">
      <c r="A61" s="1">
        <v>59</v>
      </c>
    </row>
    <row r="62" spans="1:18" x14ac:dyDescent="0.25">
      <c r="A62" s="1">
        <v>60</v>
      </c>
    </row>
    <row r="63" spans="1:18" x14ac:dyDescent="0.25">
      <c r="A63" s="1">
        <v>61</v>
      </c>
    </row>
    <row r="64" spans="1:18" x14ac:dyDescent="0.25">
      <c r="A64" s="1">
        <v>62</v>
      </c>
    </row>
    <row r="65" spans="1:1" x14ac:dyDescent="0.25">
      <c r="A65" s="1">
        <v>63</v>
      </c>
    </row>
    <row r="66" spans="1:1" x14ac:dyDescent="0.25">
      <c r="A66" s="1">
        <v>64</v>
      </c>
    </row>
    <row r="67" spans="1:1" x14ac:dyDescent="0.25">
      <c r="A67" s="1">
        <v>65</v>
      </c>
    </row>
    <row r="68" spans="1:1" x14ac:dyDescent="0.25">
      <c r="A68" s="1">
        <v>66</v>
      </c>
    </row>
    <row r="69" spans="1:1" x14ac:dyDescent="0.25">
      <c r="A69" s="1">
        <v>67</v>
      </c>
    </row>
    <row r="70" spans="1:1" x14ac:dyDescent="0.25">
      <c r="A70" s="1">
        <v>68</v>
      </c>
    </row>
    <row r="71" spans="1:1" x14ac:dyDescent="0.25">
      <c r="A71" s="1">
        <v>69</v>
      </c>
    </row>
    <row r="72" spans="1:1" x14ac:dyDescent="0.25">
      <c r="A72" s="1">
        <v>70</v>
      </c>
    </row>
    <row r="73" spans="1:1" x14ac:dyDescent="0.25">
      <c r="A73" s="1">
        <v>71</v>
      </c>
    </row>
    <row r="74" spans="1:1" x14ac:dyDescent="0.25">
      <c r="A74" s="1">
        <v>72</v>
      </c>
    </row>
    <row r="75" spans="1:1" x14ac:dyDescent="0.25">
      <c r="A75" s="1">
        <v>73</v>
      </c>
    </row>
    <row r="76" spans="1:1" x14ac:dyDescent="0.25">
      <c r="A76" s="1">
        <v>74</v>
      </c>
    </row>
    <row r="77" spans="1:1" x14ac:dyDescent="0.25">
      <c r="A77" s="1">
        <v>75</v>
      </c>
    </row>
    <row r="78" spans="1:1" x14ac:dyDescent="0.25">
      <c r="A78" s="1">
        <v>76</v>
      </c>
    </row>
    <row r="79" spans="1:1" x14ac:dyDescent="0.25">
      <c r="A79" s="1">
        <v>77</v>
      </c>
    </row>
    <row r="80" spans="1:1" x14ac:dyDescent="0.25">
      <c r="A80" s="1">
        <v>78</v>
      </c>
    </row>
    <row r="81" spans="1:1" x14ac:dyDescent="0.25">
      <c r="A81" s="1">
        <v>79</v>
      </c>
    </row>
    <row r="82" spans="1:1" x14ac:dyDescent="0.25">
      <c r="A82" s="1">
        <v>80</v>
      </c>
    </row>
    <row r="83" spans="1:1" x14ac:dyDescent="0.25">
      <c r="A83" s="1">
        <v>81</v>
      </c>
    </row>
    <row r="84" spans="1:1" x14ac:dyDescent="0.25">
      <c r="A84" s="1">
        <v>82</v>
      </c>
    </row>
    <row r="85" spans="1:1" x14ac:dyDescent="0.25">
      <c r="A85" s="1">
        <v>83</v>
      </c>
    </row>
    <row r="86" spans="1:1" x14ac:dyDescent="0.25">
      <c r="A86" s="1">
        <v>84</v>
      </c>
    </row>
    <row r="87" spans="1:1" x14ac:dyDescent="0.25">
      <c r="A87" s="1">
        <v>85</v>
      </c>
    </row>
    <row r="88" spans="1:1" x14ac:dyDescent="0.25">
      <c r="A88" s="1">
        <v>86</v>
      </c>
    </row>
    <row r="89" spans="1:1" x14ac:dyDescent="0.25">
      <c r="A89" s="1">
        <v>87</v>
      </c>
    </row>
    <row r="90" spans="1:1" x14ac:dyDescent="0.25">
      <c r="A90" s="1">
        <v>88</v>
      </c>
    </row>
    <row r="91" spans="1:1" x14ac:dyDescent="0.25">
      <c r="A91" s="1">
        <v>89</v>
      </c>
    </row>
    <row r="92" spans="1:1" x14ac:dyDescent="0.25">
      <c r="A92" s="1">
        <v>90</v>
      </c>
    </row>
    <row r="93" spans="1:1" x14ac:dyDescent="0.25">
      <c r="A93" s="1">
        <v>91</v>
      </c>
    </row>
    <row r="94" spans="1:1" x14ac:dyDescent="0.25">
      <c r="A94" s="1">
        <v>92</v>
      </c>
    </row>
    <row r="95" spans="1:1" x14ac:dyDescent="0.25">
      <c r="A95" s="1">
        <v>93</v>
      </c>
    </row>
    <row r="96" spans="1:1" x14ac:dyDescent="0.25">
      <c r="A96" s="1">
        <v>94</v>
      </c>
    </row>
    <row r="97" spans="1:1" x14ac:dyDescent="0.25">
      <c r="A97" s="1">
        <v>95</v>
      </c>
    </row>
    <row r="98" spans="1:1" x14ac:dyDescent="0.25">
      <c r="A98" s="1">
        <v>96</v>
      </c>
    </row>
    <row r="99" spans="1:1" x14ac:dyDescent="0.25">
      <c r="A99" s="1">
        <v>97</v>
      </c>
    </row>
    <row r="100" spans="1:1" x14ac:dyDescent="0.25">
      <c r="A100" s="1">
        <v>98</v>
      </c>
    </row>
    <row r="101" spans="1:1" x14ac:dyDescent="0.25">
      <c r="A101" s="1">
        <v>99</v>
      </c>
    </row>
    <row r="102" spans="1:1" x14ac:dyDescent="0.25">
      <c r="A102" s="1">
        <v>100</v>
      </c>
    </row>
  </sheetData>
  <mergeCells count="12">
    <mergeCell ref="L1:L2"/>
    <mergeCell ref="K1:K2"/>
    <mergeCell ref="A1:A2"/>
    <mergeCell ref="B1:B2"/>
    <mergeCell ref="C1:C2"/>
    <mergeCell ref="D1:D2"/>
    <mergeCell ref="E1:E2"/>
    <mergeCell ref="H1:H2"/>
    <mergeCell ref="F1:F2"/>
    <mergeCell ref="G1:G2"/>
    <mergeCell ref="J1:J2"/>
    <mergeCell ref="I1:I2"/>
  </mergeCells>
  <conditionalFormatting sqref="N1:N1048576">
    <cfRule type="containsText" dxfId="143" priority="67" operator="containsText" text="Score">
      <formula>NOT(ISERROR(SEARCH("Score",N1)))</formula>
    </cfRule>
    <cfRule type="expression" dxfId="142" priority="68">
      <formula>$N1 &gt; $N$2</formula>
    </cfRule>
  </conditionalFormatting>
  <conditionalFormatting sqref="O1:O1048576">
    <cfRule type="containsText" dxfId="141" priority="65" operator="containsText" text="Lines">
      <formula>NOT(ISERROR(SEARCH("Lines",O1)))</formula>
    </cfRule>
    <cfRule type="expression" dxfId="140" priority="66">
      <formula>$O1 &gt; $O$2</formula>
    </cfRule>
  </conditionalFormatting>
  <conditionalFormatting sqref="P1:P1048576">
    <cfRule type="containsText" dxfId="139" priority="63" operator="containsText" text="Time">
      <formula>NOT(ISERROR(SEARCH("Time",P1)))</formula>
    </cfRule>
    <cfRule type="expression" dxfId="138" priority="64">
      <formula>$P1 &gt; $P$2</formula>
    </cfRule>
  </conditionalFormatting>
  <conditionalFormatting sqref="Q1:Q1048576">
    <cfRule type="containsText" dxfId="137" priority="61" operator="containsText" text="Score/Sec">
      <formula>NOT(ISERROR(SEARCH("Score/Sec",Q1)))</formula>
    </cfRule>
    <cfRule type="expression" dxfId="136" priority="62">
      <formula>$Q1 &gt; $Q$2</formula>
    </cfRule>
  </conditionalFormatting>
  <conditionalFormatting sqref="R1:R1048576">
    <cfRule type="containsText" dxfId="135" priority="59" operator="containsText" text="Lines/Sec">
      <formula>NOT(ISERROR(SEARCH("Lines/Sec",R1)))</formula>
    </cfRule>
    <cfRule type="expression" dxfId="134" priority="60">
      <formula>$R1 &gt; $R$2</formula>
    </cfRule>
  </conditionalFormatting>
  <conditionalFormatting sqref="I1:I1048576">
    <cfRule type="containsText" dxfId="133" priority="58" operator="containsText" text="Switch">
      <formula>NOT(ISERROR(SEARCH("Switch",I1)))</formula>
    </cfRule>
  </conditionalFormatting>
  <conditionalFormatting sqref="J1:J1048576">
    <cfRule type="containsText" dxfId="132" priority="51" operator="containsText" text="Null">
      <formula>NOT(ISERROR(SEARCH("Null",J1)))</formula>
    </cfRule>
    <cfRule type="containsText" dxfId="131" priority="57" operator="containsText" text="YT Videos">
      <formula>NOT(ISERROR(SEARCH("YT Videos",J1)))</formula>
    </cfRule>
  </conditionalFormatting>
  <conditionalFormatting sqref="H1:H1048576">
    <cfRule type="containsText" dxfId="130" priority="1" operator="containsText" text="Grade">
      <formula>NOT(ISERROR(SEARCH("Grade",H1)))</formula>
    </cfRule>
    <cfRule type="containsText" dxfId="129" priority="52" operator="containsText" text="S">
      <formula>NOT(ISERROR(SEARCH("S",H1)))</formula>
    </cfRule>
    <cfRule type="containsText" dxfId="128" priority="53" operator="containsText" text="A">
      <formula>NOT(ISERROR(SEARCH("A",H1)))</formula>
    </cfRule>
    <cfRule type="containsText" dxfId="127" priority="54" operator="containsText" text="B">
      <formula>NOT(ISERROR(SEARCH("B",H1)))</formula>
    </cfRule>
    <cfRule type="containsText" dxfId="126" priority="55" operator="containsText" text="C">
      <formula>NOT(ISERROR(SEARCH("C",H1)))</formula>
    </cfRule>
    <cfRule type="containsText" dxfId="125" priority="56" operator="containsText" text="D">
      <formula>NOT(ISERROR(SEARCH("D",H1)))</formula>
    </cfRule>
  </conditionalFormatting>
  <conditionalFormatting sqref="E1:E1048576">
    <cfRule type="top10" dxfId="124" priority="47" percent="1" rank="10"/>
  </conditionalFormatting>
  <conditionalFormatting sqref="D1:D1048576">
    <cfRule type="top10" dxfId="123" priority="46" percent="1" rank="10"/>
  </conditionalFormatting>
  <conditionalFormatting sqref="C1:C1048576">
    <cfRule type="top10" dxfId="122" priority="45" percent="1" rank="10"/>
  </conditionalFormatting>
  <conditionalFormatting sqref="F1:F1048576">
    <cfRule type="top10" dxfId="121" priority="44" percent="1" rank="10"/>
  </conditionalFormatting>
  <conditionalFormatting sqref="G1:G1048576">
    <cfRule type="top10" dxfId="120" priority="4" percent="1" rank="10"/>
  </conditionalFormatting>
  <conditionalFormatting sqref="K1:K1048576">
    <cfRule type="containsText" dxfId="119" priority="3" operator="containsText" text="Null">
      <formula>NOT(ISERROR(SEARCH("Null",K1)))</formula>
    </cfRule>
  </conditionalFormatting>
  <conditionalFormatting sqref="L1:L1048576">
    <cfRule type="containsText" dxfId="118" priority="5" operator="containsText" text="Null">
      <formula>NOT(ISERROR(SEARCH("Null",L1)))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lassic">
          <controlPr defaultSize="0" autoLine="0" autoPict="0" r:id="rId4">
            <anchor moveWithCells="1">
              <from>
                <xdr:col>12</xdr:col>
                <xdr:colOff>9525</xdr:colOff>
                <xdr:row>0</xdr:row>
                <xdr:rowOff>0</xdr:rowOff>
              </from>
              <to>
                <xdr:col>13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025" r:id="rId3" name="Classi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E5139-3806-4739-A146-DA494B516D0D}">
  <sheetPr codeName="Sheet6"/>
  <dimension ref="A1:V102"/>
  <sheetViews>
    <sheetView tabSelected="1" zoomScaleNormal="100" workbookViewId="0">
      <pane ySplit="2" topLeftCell="A9" activePane="bottomLeft" state="frozen"/>
      <selection pane="bottomLeft" activeCell="E22" sqref="E22"/>
    </sheetView>
  </sheetViews>
  <sheetFormatPr defaultRowHeight="18.75" x14ac:dyDescent="0.25"/>
  <cols>
    <col min="1" max="1" width="3.91015625" bestFit="1" customWidth="1"/>
    <col min="2" max="2" width="7.92578125" style="2" bestFit="1" customWidth="1"/>
    <col min="3" max="3" width="7.3984375" style="19" bestFit="1" customWidth="1"/>
    <col min="4" max="4" width="4.75390625" style="4" bestFit="1" customWidth="1"/>
    <col min="5" max="5" width="7.92578125" style="8" bestFit="1" customWidth="1"/>
    <col min="6" max="6" width="8.453125" style="11" bestFit="1" customWidth="1"/>
    <col min="7" max="7" width="8.13671875" style="11" bestFit="1" customWidth="1"/>
    <col min="8" max="8" width="5.6015625" style="1" bestFit="1" customWidth="1"/>
    <col min="9" max="9" width="7.609375" style="1" bestFit="1" customWidth="1"/>
    <col min="10" max="10" width="8.2421875" bestFit="1" customWidth="1"/>
    <col min="11" max="11" width="8.76953125" style="9" customWidth="1"/>
    <col min="12" max="12" width="7.3984375" style="4" bestFit="1" customWidth="1"/>
    <col min="13" max="13" width="4.96484375" style="4" bestFit="1" customWidth="1"/>
    <col min="14" max="14" width="7.92578125" style="7" bestFit="1" customWidth="1"/>
    <col min="15" max="15" width="8.76953125" style="11" bestFit="1" customWidth="1"/>
    <col min="16" max="16" width="8.453125" style="11" bestFit="1" customWidth="1"/>
  </cols>
  <sheetData>
    <row r="1" spans="1:22" x14ac:dyDescent="0.25">
      <c r="A1" s="34" t="s">
        <v>0</v>
      </c>
      <c r="B1" s="35" t="s">
        <v>1</v>
      </c>
      <c r="C1" s="36" t="s">
        <v>2</v>
      </c>
      <c r="D1" s="37" t="s">
        <v>3</v>
      </c>
      <c r="E1" s="38" t="s">
        <v>4</v>
      </c>
      <c r="F1" s="39" t="s">
        <v>6</v>
      </c>
      <c r="G1" s="39" t="s">
        <v>7</v>
      </c>
      <c r="H1" s="34" t="s">
        <v>5</v>
      </c>
      <c r="I1" s="34" t="s">
        <v>9</v>
      </c>
      <c r="J1" s="34" t="s">
        <v>8</v>
      </c>
      <c r="L1" s="14" t="s">
        <v>2</v>
      </c>
      <c r="M1" s="14" t="s">
        <v>3</v>
      </c>
      <c r="N1" s="15" t="s">
        <v>4</v>
      </c>
      <c r="O1" s="17" t="s">
        <v>6</v>
      </c>
      <c r="P1" s="17" t="s">
        <v>7</v>
      </c>
    </row>
    <row r="2" spans="1:22" x14ac:dyDescent="0.25">
      <c r="A2" s="34"/>
      <c r="B2" s="35"/>
      <c r="C2" s="36"/>
      <c r="D2" s="37"/>
      <c r="E2" s="38"/>
      <c r="F2" s="39"/>
      <c r="G2" s="39"/>
      <c r="H2" s="34"/>
      <c r="I2" s="34"/>
      <c r="J2" s="34"/>
      <c r="L2" s="14">
        <f>AVERAGE(C:C)</f>
        <v>13613.4</v>
      </c>
      <c r="M2" s="14">
        <f>AVERAGE(D:D)</f>
        <v>62.3</v>
      </c>
      <c r="N2" s="15">
        <v>2.0833333333333333E-3</v>
      </c>
      <c r="O2" s="17">
        <f>AVERAGE(F:F)</f>
        <v>75.788888888888906</v>
      </c>
      <c r="P2" s="17">
        <f>AVERAGE(G:G)</f>
        <v>0.34607843137254896</v>
      </c>
    </row>
    <row r="3" spans="1:22" x14ac:dyDescent="0.25">
      <c r="A3" s="1">
        <v>1</v>
      </c>
      <c r="B3" s="2" t="s">
        <v>26</v>
      </c>
      <c r="C3" s="19">
        <v>11434</v>
      </c>
      <c r="D3" s="1">
        <v>55</v>
      </c>
      <c r="E3" s="7">
        <v>2.0833333333333333E-3</v>
      </c>
      <c r="F3" s="11">
        <f t="shared" ref="F3:F19" si="0">C3/(E3*86400)</f>
        <v>63.522222222222226</v>
      </c>
      <c r="G3" s="11">
        <f t="shared" ref="G3:G19" si="1">D3/(E3*86400)</f>
        <v>0.30555555555555558</v>
      </c>
      <c r="H3" s="1" t="s">
        <v>14</v>
      </c>
      <c r="I3" s="5" t="s">
        <v>21</v>
      </c>
      <c r="J3" s="5" t="s">
        <v>20</v>
      </c>
    </row>
    <row r="4" spans="1:22" x14ac:dyDescent="0.25">
      <c r="A4" s="1">
        <v>2</v>
      </c>
      <c r="B4" s="2" t="s">
        <v>26</v>
      </c>
      <c r="C4" s="19">
        <v>13009</v>
      </c>
      <c r="D4" s="1">
        <v>57</v>
      </c>
      <c r="E4" s="7">
        <v>2.0833333333333333E-3</v>
      </c>
      <c r="F4" s="11">
        <f t="shared" si="0"/>
        <v>72.272222222222226</v>
      </c>
      <c r="G4" s="11">
        <f t="shared" si="1"/>
        <v>0.31666666666666665</v>
      </c>
      <c r="H4" s="1" t="s">
        <v>14</v>
      </c>
      <c r="I4" s="5" t="s">
        <v>21</v>
      </c>
      <c r="J4" s="5" t="s">
        <v>20</v>
      </c>
      <c r="K4" s="9" t="s">
        <v>26</v>
      </c>
      <c r="L4" s="4">
        <v>12221.5</v>
      </c>
      <c r="M4" s="4">
        <v>56</v>
      </c>
      <c r="N4" s="7">
        <v>2.0833333333333316E-3</v>
      </c>
      <c r="O4" s="11">
        <v>67.897111111111101</v>
      </c>
      <c r="P4" s="11">
        <v>0.31133333333333346</v>
      </c>
      <c r="R4" s="12"/>
      <c r="S4" s="12"/>
      <c r="T4" s="8"/>
      <c r="U4" s="23"/>
      <c r="V4" s="23"/>
    </row>
    <row r="5" spans="1:22" x14ac:dyDescent="0.25">
      <c r="A5" s="1">
        <v>3</v>
      </c>
      <c r="B5" s="2" t="s">
        <v>29</v>
      </c>
      <c r="C5" s="19">
        <v>12676</v>
      </c>
      <c r="D5" s="4">
        <v>59</v>
      </c>
      <c r="E5" s="7">
        <v>2.0833333333333333E-3</v>
      </c>
      <c r="F5" s="11">
        <f t="shared" si="0"/>
        <v>70.422222222222217</v>
      </c>
      <c r="G5" s="11">
        <f t="shared" si="1"/>
        <v>0.32777777777777778</v>
      </c>
      <c r="H5" s="1" t="s">
        <v>14</v>
      </c>
      <c r="I5" s="5" t="s">
        <v>22</v>
      </c>
      <c r="J5" s="5" t="s">
        <v>19</v>
      </c>
    </row>
    <row r="6" spans="1:22" x14ac:dyDescent="0.25">
      <c r="A6" s="1">
        <v>4</v>
      </c>
      <c r="B6" s="2" t="s">
        <v>29</v>
      </c>
      <c r="C6" s="19">
        <v>12446</v>
      </c>
      <c r="D6" s="4">
        <v>55</v>
      </c>
      <c r="E6" s="7">
        <v>2.0833333333333333E-3</v>
      </c>
      <c r="F6" s="11">
        <f t="shared" si="0"/>
        <v>69.144444444444446</v>
      </c>
      <c r="G6" s="11">
        <f t="shared" si="1"/>
        <v>0.30555555555555558</v>
      </c>
      <c r="H6" s="1" t="s">
        <v>14</v>
      </c>
      <c r="I6" s="5" t="s">
        <v>22</v>
      </c>
      <c r="J6" s="5" t="s">
        <v>19</v>
      </c>
    </row>
    <row r="7" spans="1:22" x14ac:dyDescent="0.25">
      <c r="A7" s="1">
        <v>5</v>
      </c>
      <c r="B7" s="2" t="s">
        <v>29</v>
      </c>
      <c r="C7" s="19">
        <v>12002</v>
      </c>
      <c r="D7" s="4">
        <v>55</v>
      </c>
      <c r="E7" s="7">
        <v>2.0833333333333333E-3</v>
      </c>
      <c r="F7" s="11">
        <f t="shared" si="0"/>
        <v>66.677777777777777</v>
      </c>
      <c r="G7" s="11">
        <f t="shared" si="1"/>
        <v>0.30555555555555558</v>
      </c>
      <c r="H7" s="1" t="s">
        <v>14</v>
      </c>
      <c r="I7" s="5" t="s">
        <v>22</v>
      </c>
      <c r="J7" s="5" t="s">
        <v>19</v>
      </c>
      <c r="K7" s="9" t="s">
        <v>29</v>
      </c>
      <c r="L7" s="4">
        <v>12374.666666666666</v>
      </c>
      <c r="M7" s="4">
        <v>56.333333333333336</v>
      </c>
      <c r="N7" s="7">
        <v>2.0833333333333298E-3</v>
      </c>
      <c r="O7" s="11">
        <v>68.748148148148132</v>
      </c>
      <c r="P7" s="11">
        <v>0.31296296296296333</v>
      </c>
    </row>
    <row r="8" spans="1:22" x14ac:dyDescent="0.25">
      <c r="A8" s="1">
        <v>6</v>
      </c>
      <c r="B8" s="2" t="s">
        <v>38</v>
      </c>
      <c r="C8" s="19">
        <v>14308</v>
      </c>
      <c r="D8" s="4">
        <v>66</v>
      </c>
      <c r="E8" s="7">
        <v>2.0833333333333333E-3</v>
      </c>
      <c r="F8" s="11">
        <f t="shared" si="0"/>
        <v>79.488888888888894</v>
      </c>
      <c r="G8" s="11">
        <f t="shared" si="1"/>
        <v>0.36666666666666664</v>
      </c>
      <c r="H8" s="1" t="s">
        <v>14</v>
      </c>
      <c r="I8" s="5" t="s">
        <v>21</v>
      </c>
      <c r="J8" s="5" t="s">
        <v>20</v>
      </c>
    </row>
    <row r="9" spans="1:22" x14ac:dyDescent="0.25">
      <c r="A9" s="1">
        <v>7</v>
      </c>
      <c r="B9" s="2" t="s">
        <v>38</v>
      </c>
      <c r="C9" s="19">
        <v>14946</v>
      </c>
      <c r="D9" s="4">
        <v>68</v>
      </c>
      <c r="E9" s="7">
        <v>2.0833333333333333E-3</v>
      </c>
      <c r="F9" s="11">
        <f t="shared" si="0"/>
        <v>83.033333333333331</v>
      </c>
      <c r="G9" s="11">
        <f t="shared" si="1"/>
        <v>0.37777777777777777</v>
      </c>
      <c r="H9" s="1" t="s">
        <v>14</v>
      </c>
      <c r="I9" s="5" t="s">
        <v>21</v>
      </c>
      <c r="J9" s="5" t="s">
        <v>20</v>
      </c>
    </row>
    <row r="10" spans="1:22" x14ac:dyDescent="0.25">
      <c r="A10" s="1">
        <v>8</v>
      </c>
      <c r="B10" s="2" t="s">
        <v>38</v>
      </c>
      <c r="C10" s="19">
        <v>13975</v>
      </c>
      <c r="D10" s="4">
        <v>65</v>
      </c>
      <c r="E10" s="7">
        <v>2.0833333333333333E-3</v>
      </c>
      <c r="F10" s="11">
        <f t="shared" si="0"/>
        <v>77.638888888888886</v>
      </c>
      <c r="G10" s="11">
        <f t="shared" si="1"/>
        <v>0.3611111111111111</v>
      </c>
      <c r="H10" s="1" t="s">
        <v>14</v>
      </c>
      <c r="I10" s="5" t="s">
        <v>21</v>
      </c>
      <c r="J10" s="5" t="s">
        <v>20</v>
      </c>
    </row>
    <row r="11" spans="1:22" x14ac:dyDescent="0.25">
      <c r="A11" s="1">
        <v>9</v>
      </c>
      <c r="B11" s="2" t="s">
        <v>38</v>
      </c>
      <c r="C11" s="19">
        <v>14796</v>
      </c>
      <c r="D11" s="4">
        <v>67</v>
      </c>
      <c r="E11" s="7">
        <v>2.0833333333333333E-3</v>
      </c>
      <c r="F11" s="11">
        <f t="shared" si="0"/>
        <v>82.2</v>
      </c>
      <c r="G11" s="11">
        <f t="shared" si="1"/>
        <v>0.37222222222222223</v>
      </c>
      <c r="H11" s="1" t="s">
        <v>14</v>
      </c>
      <c r="I11" s="5" t="s">
        <v>21</v>
      </c>
      <c r="J11" s="5" t="s">
        <v>20</v>
      </c>
    </row>
    <row r="12" spans="1:22" x14ac:dyDescent="0.25">
      <c r="A12" s="1">
        <v>10</v>
      </c>
      <c r="B12" s="2" t="s">
        <v>38</v>
      </c>
      <c r="C12" s="19">
        <v>14695</v>
      </c>
      <c r="D12" s="4">
        <v>69</v>
      </c>
      <c r="E12" s="7">
        <v>2.0833333333333333E-3</v>
      </c>
      <c r="F12" s="11">
        <f t="shared" si="0"/>
        <v>81.638888888888886</v>
      </c>
      <c r="G12" s="11">
        <f t="shared" si="1"/>
        <v>0.38333333333333336</v>
      </c>
      <c r="H12" s="1" t="s">
        <v>14</v>
      </c>
      <c r="I12" s="5" t="s">
        <v>39</v>
      </c>
      <c r="J12" s="5" t="s">
        <v>20</v>
      </c>
      <c r="R12" s="12"/>
      <c r="S12" s="12"/>
      <c r="T12" s="8"/>
      <c r="U12" s="23"/>
      <c r="V12" s="23"/>
    </row>
    <row r="13" spans="1:22" x14ac:dyDescent="0.25">
      <c r="A13" s="1">
        <v>11</v>
      </c>
      <c r="B13" s="2" t="s">
        <v>38</v>
      </c>
      <c r="C13" s="19">
        <v>13650</v>
      </c>
      <c r="D13" s="4">
        <v>62</v>
      </c>
      <c r="E13" s="7">
        <v>2.0833333333333333E-3</v>
      </c>
      <c r="F13" s="11">
        <f t="shared" si="0"/>
        <v>75.833333333333329</v>
      </c>
      <c r="G13" s="11">
        <f t="shared" si="1"/>
        <v>0.34444444444444444</v>
      </c>
      <c r="H13" s="1" t="s">
        <v>14</v>
      </c>
      <c r="I13" s="5" t="s">
        <v>21</v>
      </c>
      <c r="J13" s="5" t="s">
        <v>20</v>
      </c>
    </row>
    <row r="14" spans="1:22" x14ac:dyDescent="0.25">
      <c r="A14" s="1">
        <v>12</v>
      </c>
      <c r="B14" s="2" t="s">
        <v>38</v>
      </c>
      <c r="C14" s="19">
        <v>12950</v>
      </c>
      <c r="D14" s="4">
        <v>58</v>
      </c>
      <c r="E14" s="7">
        <v>2.0833333333333333E-3</v>
      </c>
      <c r="F14" s="11">
        <f t="shared" si="0"/>
        <v>71.944444444444443</v>
      </c>
      <c r="G14" s="11">
        <f t="shared" si="1"/>
        <v>0.32222222222222224</v>
      </c>
      <c r="H14" s="1" t="s">
        <v>14</v>
      </c>
      <c r="I14" s="5" t="s">
        <v>21</v>
      </c>
      <c r="J14" s="5" t="s">
        <v>19</v>
      </c>
    </row>
    <row r="15" spans="1:22" x14ac:dyDescent="0.25">
      <c r="A15" s="1">
        <v>13</v>
      </c>
      <c r="B15" s="2" t="s">
        <v>38</v>
      </c>
      <c r="C15" s="19">
        <v>14524</v>
      </c>
      <c r="D15" s="4">
        <v>63</v>
      </c>
      <c r="E15" s="7">
        <v>2.0833333333333333E-3</v>
      </c>
      <c r="F15" s="11">
        <f t="shared" si="0"/>
        <v>80.688888888888883</v>
      </c>
      <c r="G15" s="11">
        <f t="shared" si="1"/>
        <v>0.35</v>
      </c>
      <c r="H15" s="1" t="s">
        <v>14</v>
      </c>
      <c r="I15" s="5" t="s">
        <v>21</v>
      </c>
      <c r="J15" s="5" t="s">
        <v>19</v>
      </c>
    </row>
    <row r="16" spans="1:22" x14ac:dyDescent="0.25">
      <c r="A16" s="1">
        <v>14</v>
      </c>
      <c r="B16" s="3" t="s">
        <v>38</v>
      </c>
      <c r="C16" s="19">
        <v>13857</v>
      </c>
      <c r="D16" s="4">
        <v>63</v>
      </c>
      <c r="E16" s="7">
        <v>2.0833333333333333E-3</v>
      </c>
      <c r="F16" s="11">
        <f t="shared" si="0"/>
        <v>76.983333333333334</v>
      </c>
      <c r="G16" s="11">
        <f t="shared" si="1"/>
        <v>0.35</v>
      </c>
      <c r="H16" s="1" t="s">
        <v>14</v>
      </c>
      <c r="I16" s="5" t="s">
        <v>21</v>
      </c>
      <c r="J16" s="5" t="s">
        <v>19</v>
      </c>
      <c r="K16" s="9" t="s">
        <v>38</v>
      </c>
      <c r="L16" s="4">
        <v>14189</v>
      </c>
      <c r="M16" s="4">
        <v>64.555555555555557</v>
      </c>
      <c r="N16" s="7">
        <v>2.0833333333333298E-3</v>
      </c>
      <c r="O16" s="11">
        <v>78.827777777777769</v>
      </c>
      <c r="P16" s="11">
        <v>0.35864197530864189</v>
      </c>
      <c r="Q16" s="27"/>
    </row>
    <row r="17" spans="1:16" x14ac:dyDescent="0.25">
      <c r="A17" s="1">
        <v>15</v>
      </c>
      <c r="B17" s="2" t="s">
        <v>40</v>
      </c>
      <c r="C17" s="19">
        <v>14652</v>
      </c>
      <c r="D17" s="4">
        <v>68</v>
      </c>
      <c r="E17" s="7">
        <v>2.0833333333333333E-3</v>
      </c>
      <c r="F17" s="11">
        <f t="shared" si="0"/>
        <v>81.400000000000006</v>
      </c>
      <c r="G17" s="11">
        <f t="shared" si="1"/>
        <v>0.37777777777777777</v>
      </c>
      <c r="H17" s="1" t="s">
        <v>14</v>
      </c>
      <c r="I17" s="5" t="s">
        <v>21</v>
      </c>
      <c r="J17" s="5" t="s">
        <v>20</v>
      </c>
      <c r="K17" s="9" t="s">
        <v>40</v>
      </c>
      <c r="L17" s="4">
        <v>14652</v>
      </c>
      <c r="M17" s="4">
        <v>68</v>
      </c>
      <c r="N17" s="7">
        <v>2.0833333333333298E-3</v>
      </c>
      <c r="O17" s="11">
        <v>81.400000000000006</v>
      </c>
      <c r="P17" s="11">
        <v>0.37777777777777799</v>
      </c>
    </row>
    <row r="18" spans="1:16" x14ac:dyDescent="0.25">
      <c r="A18" s="1">
        <v>16</v>
      </c>
      <c r="B18" s="2" t="s">
        <v>42</v>
      </c>
      <c r="C18" s="19">
        <v>14036</v>
      </c>
      <c r="D18" s="4">
        <v>63</v>
      </c>
      <c r="E18" s="7">
        <v>2.0833333333333333E-3</v>
      </c>
      <c r="F18" s="11">
        <f t="shared" si="0"/>
        <v>77.977777777777774</v>
      </c>
      <c r="G18" s="11">
        <f t="shared" si="1"/>
        <v>0.35</v>
      </c>
      <c r="H18" s="1" t="s">
        <v>14</v>
      </c>
      <c r="I18" s="5" t="s">
        <v>21</v>
      </c>
      <c r="J18" s="5" t="s">
        <v>20</v>
      </c>
    </row>
    <row r="19" spans="1:16" x14ac:dyDescent="0.25">
      <c r="A19" s="1">
        <v>17</v>
      </c>
      <c r="B19" s="2" t="s">
        <v>42</v>
      </c>
      <c r="C19" s="19">
        <v>13958</v>
      </c>
      <c r="D19" s="4">
        <v>66</v>
      </c>
      <c r="E19" s="7">
        <v>2.0833333333333333E-3</v>
      </c>
      <c r="F19" s="11">
        <f t="shared" si="0"/>
        <v>77.544444444444451</v>
      </c>
      <c r="G19" s="11">
        <f t="shared" si="1"/>
        <v>0.36666666666666664</v>
      </c>
      <c r="H19" s="1" t="s">
        <v>14</v>
      </c>
      <c r="I19" s="5" t="s">
        <v>21</v>
      </c>
      <c r="J19" s="5" t="s">
        <v>20</v>
      </c>
      <c r="K19" s="9" t="s">
        <v>42</v>
      </c>
      <c r="L19" s="4">
        <v>13997</v>
      </c>
      <c r="M19" s="4">
        <v>64.5</v>
      </c>
      <c r="N19" s="7">
        <v>2.0833333333333298E-3</v>
      </c>
      <c r="O19" s="11">
        <v>77.761111111111148</v>
      </c>
      <c r="P19" s="11">
        <v>0.3583333333333335</v>
      </c>
    </row>
    <row r="20" spans="1:16" x14ac:dyDescent="0.25">
      <c r="A20" s="1">
        <v>18</v>
      </c>
      <c r="B20" s="2" t="s">
        <v>43</v>
      </c>
      <c r="C20" s="19">
        <v>12005</v>
      </c>
      <c r="D20" s="4">
        <v>54</v>
      </c>
      <c r="E20" s="7">
        <v>2.0833333333333333E-3</v>
      </c>
      <c r="H20" s="1" t="s">
        <v>14</v>
      </c>
      <c r="I20" s="5" t="s">
        <v>21</v>
      </c>
      <c r="J20" s="5" t="s">
        <v>20</v>
      </c>
    </row>
    <row r="21" spans="1:16" x14ac:dyDescent="0.25">
      <c r="A21" s="1">
        <v>19</v>
      </c>
      <c r="B21" s="2" t="s">
        <v>43</v>
      </c>
      <c r="C21" s="19">
        <v>14772</v>
      </c>
      <c r="D21" s="4">
        <v>68</v>
      </c>
      <c r="E21" s="7">
        <v>2.0833333333333333E-3</v>
      </c>
      <c r="H21" s="1" t="s">
        <v>14</v>
      </c>
      <c r="I21" s="5" t="s">
        <v>21</v>
      </c>
      <c r="J21" s="5" t="s">
        <v>20</v>
      </c>
    </row>
    <row r="22" spans="1:16" x14ac:dyDescent="0.25">
      <c r="A22" s="1">
        <v>20</v>
      </c>
      <c r="B22" s="2" t="s">
        <v>43</v>
      </c>
      <c r="C22" s="19">
        <v>13577</v>
      </c>
      <c r="D22" s="4">
        <v>65</v>
      </c>
      <c r="E22" s="7">
        <v>2.0833333333333333E-3</v>
      </c>
      <c r="H22" s="1" t="s">
        <v>14</v>
      </c>
      <c r="I22" s="5" t="s">
        <v>21</v>
      </c>
      <c r="J22" s="5" t="s">
        <v>20</v>
      </c>
    </row>
    <row r="23" spans="1:16" x14ac:dyDescent="0.25">
      <c r="A23" s="1"/>
      <c r="E23" s="7"/>
      <c r="I23" s="5"/>
      <c r="J23" s="5"/>
    </row>
    <row r="24" spans="1:16" x14ac:dyDescent="0.25">
      <c r="A24" s="1"/>
      <c r="E24" s="7"/>
      <c r="I24" s="5"/>
      <c r="J24" s="5"/>
    </row>
    <row r="25" spans="1:16" x14ac:dyDescent="0.25">
      <c r="A25" s="1"/>
      <c r="E25" s="7"/>
      <c r="I25" s="5"/>
      <c r="J25" s="5"/>
    </row>
    <row r="26" spans="1:16" x14ac:dyDescent="0.25">
      <c r="A26" s="1"/>
      <c r="E26" s="7"/>
      <c r="I26" s="5"/>
      <c r="J26" s="5"/>
    </row>
    <row r="27" spans="1:16" x14ac:dyDescent="0.25">
      <c r="A27" s="1"/>
      <c r="E27" s="7"/>
      <c r="I27" s="5"/>
      <c r="J27" s="5"/>
    </row>
    <row r="28" spans="1:16" x14ac:dyDescent="0.25">
      <c r="A28" s="1"/>
      <c r="E28" s="7"/>
      <c r="I28" s="5"/>
      <c r="J28" s="5"/>
    </row>
    <row r="29" spans="1:16" x14ac:dyDescent="0.25">
      <c r="A29" s="1"/>
      <c r="E29" s="7"/>
      <c r="I29" s="5"/>
      <c r="J29" s="5"/>
    </row>
    <row r="30" spans="1:16" x14ac:dyDescent="0.25">
      <c r="A30" s="1"/>
      <c r="E30" s="7"/>
      <c r="I30" s="5"/>
      <c r="J30" s="5"/>
    </row>
    <row r="31" spans="1:16" x14ac:dyDescent="0.25">
      <c r="A31" s="1"/>
      <c r="E31" s="7"/>
      <c r="I31" s="5"/>
      <c r="J31" s="5"/>
    </row>
    <row r="32" spans="1:16" x14ac:dyDescent="0.25">
      <c r="A32" s="1"/>
      <c r="E32" s="7"/>
      <c r="I32" s="5"/>
      <c r="J32" s="5"/>
    </row>
    <row r="33" spans="1:10" x14ac:dyDescent="0.25">
      <c r="A33" s="1"/>
      <c r="E33" s="7"/>
      <c r="I33" s="5"/>
      <c r="J33" s="5"/>
    </row>
    <row r="34" spans="1:10" x14ac:dyDescent="0.25">
      <c r="A34" s="1"/>
      <c r="E34" s="7"/>
      <c r="I34" s="5"/>
      <c r="J34" s="5"/>
    </row>
    <row r="35" spans="1:10" x14ac:dyDescent="0.25">
      <c r="A35" s="1"/>
      <c r="E35" s="7"/>
      <c r="I35" s="5"/>
      <c r="J35" s="5"/>
    </row>
    <row r="36" spans="1:10" x14ac:dyDescent="0.25">
      <c r="A36" s="1"/>
      <c r="E36" s="7"/>
      <c r="I36" s="5"/>
      <c r="J36" s="5"/>
    </row>
    <row r="37" spans="1:10" x14ac:dyDescent="0.25">
      <c r="A37" s="1"/>
      <c r="E37" s="7"/>
      <c r="I37" s="5"/>
      <c r="J37" s="5"/>
    </row>
    <row r="38" spans="1:10" x14ac:dyDescent="0.25">
      <c r="A38" s="1"/>
      <c r="I38" s="5"/>
      <c r="J38" s="5"/>
    </row>
    <row r="39" spans="1:10" x14ac:dyDescent="0.25">
      <c r="A39" s="1"/>
      <c r="I39" s="5"/>
      <c r="J39" s="5"/>
    </row>
    <row r="40" spans="1:10" x14ac:dyDescent="0.25">
      <c r="A40" s="1"/>
      <c r="I40" s="5"/>
      <c r="J40" s="5"/>
    </row>
    <row r="41" spans="1:10" x14ac:dyDescent="0.25">
      <c r="A41" s="1"/>
    </row>
    <row r="42" spans="1:10" x14ac:dyDescent="0.25">
      <c r="A42" s="1"/>
    </row>
    <row r="43" spans="1:10" x14ac:dyDescent="0.25">
      <c r="A43" s="1"/>
    </row>
    <row r="44" spans="1:10" x14ac:dyDescent="0.25">
      <c r="A44" s="1"/>
    </row>
    <row r="45" spans="1:10" x14ac:dyDescent="0.25">
      <c r="A45" s="1"/>
    </row>
    <row r="46" spans="1:10" x14ac:dyDescent="0.25">
      <c r="A46" s="1"/>
    </row>
    <row r="47" spans="1:10" x14ac:dyDescent="0.25">
      <c r="A47" s="1"/>
    </row>
    <row r="48" spans="1:10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</sheetData>
  <mergeCells count="10">
    <mergeCell ref="G1:G2"/>
    <mergeCell ref="H1:H2"/>
    <mergeCell ref="I1:I2"/>
    <mergeCell ref="J1:J2"/>
    <mergeCell ref="A1:A2"/>
    <mergeCell ref="B1:B2"/>
    <mergeCell ref="C1:C2"/>
    <mergeCell ref="D1:D2"/>
    <mergeCell ref="E1:E2"/>
    <mergeCell ref="F1:F2"/>
  </mergeCells>
  <conditionalFormatting sqref="C1:C1048576">
    <cfRule type="top10" dxfId="117" priority="33" percent="1" rank="10"/>
  </conditionalFormatting>
  <conditionalFormatting sqref="D1:D1048576">
    <cfRule type="top10" dxfId="116" priority="32" percent="1" rank="10"/>
  </conditionalFormatting>
  <conditionalFormatting sqref="F1:F1048576">
    <cfRule type="top10" dxfId="115" priority="31" percent="1" rank="10"/>
  </conditionalFormatting>
  <conditionalFormatting sqref="G1:G1048576">
    <cfRule type="top10" dxfId="114" priority="30" percent="1" rank="10"/>
  </conditionalFormatting>
  <conditionalFormatting sqref="H1:H1048576">
    <cfRule type="containsText" dxfId="113" priority="10" operator="containsText" text="Grade">
      <formula>NOT(ISERROR(SEARCH("Grade",H1)))</formula>
    </cfRule>
    <cfRule type="containsText" dxfId="112" priority="25" operator="containsText" text="S">
      <formula>NOT(ISERROR(SEARCH("S",H1)))</formula>
    </cfRule>
    <cfRule type="containsText" dxfId="111" priority="26" operator="containsText" text="A">
      <formula>NOT(ISERROR(SEARCH("A",H1)))</formula>
    </cfRule>
    <cfRule type="containsText" dxfId="110" priority="27" operator="containsText" text="B">
      <formula>NOT(ISERROR(SEARCH("B",H1)))</formula>
    </cfRule>
    <cfRule type="containsText" dxfId="109" priority="28" operator="containsText" text="C">
      <formula>NOT(ISERROR(SEARCH("C",H1)))</formula>
    </cfRule>
    <cfRule type="containsText" dxfId="108" priority="29" operator="containsText" text="D">
      <formula>NOT(ISERROR(SEARCH("D",H1)))</formula>
    </cfRule>
  </conditionalFormatting>
  <conditionalFormatting sqref="I1:I1048576">
    <cfRule type="containsText" dxfId="107" priority="24" operator="containsText" text="Switch">
      <formula>NOT(ISERROR(SEARCH("Switch",I1)))</formula>
    </cfRule>
  </conditionalFormatting>
  <conditionalFormatting sqref="J1:J1048576">
    <cfRule type="containsText" dxfId="106" priority="9" operator="containsText" text="Null">
      <formula>NOT(ISERROR(SEARCH("Null",J1)))</formula>
    </cfRule>
    <cfRule type="containsText" dxfId="105" priority="21" operator="containsText" text="YT Videos">
      <formula>NOT(ISERROR(SEARCH("YT Videos",J1)))</formula>
    </cfRule>
  </conditionalFormatting>
  <conditionalFormatting sqref="L1:L1048576">
    <cfRule type="containsText" dxfId="104" priority="19" operator="containsText" text="Score">
      <formula>NOT(ISERROR(SEARCH("Score",L1)))</formula>
    </cfRule>
    <cfRule type="expression" dxfId="103" priority="20">
      <formula>$L1 &gt; $L$2</formula>
    </cfRule>
  </conditionalFormatting>
  <conditionalFormatting sqref="M1:M15 M17:M1048576">
    <cfRule type="containsText" dxfId="102" priority="7" operator="containsText" text="Lines">
      <formula>NOT(ISERROR(SEARCH("Lines",M1)))</formula>
    </cfRule>
    <cfRule type="expression" dxfId="101" priority="8">
      <formula>$M1 &gt; $M$2</formula>
    </cfRule>
  </conditionalFormatting>
  <conditionalFormatting sqref="N1:N1048576">
    <cfRule type="expression" dxfId="100" priority="6">
      <formula>$N1 &gt;= $N$2</formula>
    </cfRule>
  </conditionalFormatting>
  <conditionalFormatting sqref="O1:O15 O17:O1048576">
    <cfRule type="containsText" dxfId="99" priority="3" operator="containsText" text="Score/Sec">
      <formula>NOT(ISERROR(SEARCH("Score/Sec",O1)))</formula>
    </cfRule>
  </conditionalFormatting>
  <conditionalFormatting sqref="P1:P15 P17:P1048576">
    <cfRule type="containsText" dxfId="98" priority="1" operator="containsText" text="Lines/Sec">
      <formula>NOT(ISERROR(SEARCH("Lines/Sec",P1)))</formula>
    </cfRule>
  </conditionalFormatting>
  <conditionalFormatting sqref="Q16">
    <cfRule type="containsText" dxfId="97" priority="71" operator="containsText" text="Lines/Sec">
      <formula>NOT(ISERROR(SEARCH("Lines/Sec",Q16)))</formula>
    </cfRule>
    <cfRule type="expression" dxfId="96" priority="72">
      <formula>$Q16 &gt; $P$2</formula>
    </cfRule>
  </conditionalFormatting>
  <conditionalFormatting sqref="O1:O1048576">
    <cfRule type="expression" dxfId="95" priority="4">
      <formula>$O1 &gt; $O$2</formula>
    </cfRule>
  </conditionalFormatting>
  <conditionalFormatting sqref="P1:P1048576">
    <cfRule type="expression" dxfId="94" priority="2">
      <formula>$P1 &gt; $P$2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Ultra">
          <controlPr defaultSize="0" autoLine="0" r:id="rId4">
            <anchor moveWithCells="1">
              <from>
                <xdr:col>10</xdr:col>
                <xdr:colOff>9525</xdr:colOff>
                <xdr:row>0</xdr:row>
                <xdr:rowOff>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4337" r:id="rId3" name="Ultr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B095-0C70-46D2-B723-A0CF59AFEF94}">
  <sheetPr codeName="Sheet8"/>
  <dimension ref="A1:V30"/>
  <sheetViews>
    <sheetView workbookViewId="0">
      <pane ySplit="2" topLeftCell="A3" activePane="bottomLeft" state="frozen"/>
      <selection activeCell="B1" sqref="B1"/>
      <selection pane="bottomLeft" activeCell="O37" sqref="O37"/>
    </sheetView>
  </sheetViews>
  <sheetFormatPr defaultRowHeight="18.75" x14ac:dyDescent="0.25"/>
  <cols>
    <col min="1" max="1" width="3.91015625" style="1" bestFit="1" customWidth="1"/>
    <col min="2" max="2" width="9.30078125" style="1"/>
    <col min="3" max="3" width="5.6015625" style="21" bestFit="1" customWidth="1"/>
    <col min="4" max="4" width="4.75390625" style="1" bestFit="1" customWidth="1"/>
    <col min="5" max="5" width="8.13671875" style="22" bestFit="1" customWidth="1"/>
    <col min="6" max="6" width="8.453125" style="11" bestFit="1" customWidth="1"/>
    <col min="7" max="7" width="8.13671875" style="11" bestFit="1" customWidth="1"/>
    <col min="8" max="8" width="5.6015625" style="1" bestFit="1" customWidth="1"/>
    <col min="9" max="9" width="7.609375" bestFit="1" customWidth="1"/>
    <col min="10" max="10" width="7.71484375" style="1" bestFit="1" customWidth="1"/>
    <col min="11" max="11" width="8.76953125" style="9"/>
    <col min="12" max="12" width="5.38671875" style="4" bestFit="1" customWidth="1"/>
    <col min="13" max="13" width="4.96484375" style="10" bestFit="1" customWidth="1"/>
    <col min="14" max="14" width="7.92578125" style="7" bestFit="1" customWidth="1"/>
    <col min="15" max="16" width="8.76953125" style="11"/>
  </cols>
  <sheetData>
    <row r="1" spans="1:22" x14ac:dyDescent="0.25">
      <c r="A1" s="34" t="s">
        <v>0</v>
      </c>
      <c r="B1" s="35" t="s">
        <v>1</v>
      </c>
      <c r="C1" s="33" t="s">
        <v>2</v>
      </c>
      <c r="D1" s="37" t="s">
        <v>3</v>
      </c>
      <c r="E1" s="41" t="s">
        <v>4</v>
      </c>
      <c r="F1" s="39" t="s">
        <v>6</v>
      </c>
      <c r="G1" s="39" t="s">
        <v>7</v>
      </c>
      <c r="H1" s="34" t="s">
        <v>5</v>
      </c>
      <c r="I1" s="34" t="s">
        <v>9</v>
      </c>
      <c r="J1" s="34" t="s">
        <v>8</v>
      </c>
      <c r="L1" s="14" t="s">
        <v>2</v>
      </c>
      <c r="M1" s="28" t="s">
        <v>3</v>
      </c>
      <c r="N1" s="15" t="s">
        <v>4</v>
      </c>
      <c r="O1" s="17" t="s">
        <v>6</v>
      </c>
      <c r="P1" s="17" t="s">
        <v>7</v>
      </c>
    </row>
    <row r="2" spans="1:22" x14ac:dyDescent="0.25">
      <c r="A2" s="34"/>
      <c r="B2" s="35"/>
      <c r="C2" s="33"/>
      <c r="D2" s="37"/>
      <c r="E2" s="41"/>
      <c r="F2" s="39"/>
      <c r="G2" s="39"/>
      <c r="H2" s="34"/>
      <c r="I2" s="34"/>
      <c r="J2" s="34"/>
      <c r="L2" s="14">
        <f>AVERAGE(C:C)</f>
        <v>8731.3928571428569</v>
      </c>
      <c r="M2" s="28">
        <v>40</v>
      </c>
      <c r="N2" s="15">
        <f>AVERAGE(E:E)</f>
        <v>1.3081762566137564E-3</v>
      </c>
      <c r="O2" s="17">
        <f>AVERAGE(F:F)</f>
        <v>78.052671397840797</v>
      </c>
      <c r="P2" s="17">
        <f>AVERAGE(G:G)</f>
        <v>0.35791501903805056</v>
      </c>
    </row>
    <row r="3" spans="1:22" x14ac:dyDescent="0.25">
      <c r="A3" s="1">
        <v>1</v>
      </c>
      <c r="B3" s="1" t="s">
        <v>23</v>
      </c>
      <c r="C3" s="18">
        <v>8868</v>
      </c>
      <c r="D3" s="1">
        <v>40</v>
      </c>
      <c r="E3" s="20">
        <v>1.2616898148148147E-3</v>
      </c>
      <c r="F3" s="11">
        <f>C3/(E3*86400)</f>
        <v>81.350334831666828</v>
      </c>
      <c r="G3" s="11">
        <f>D3/(E3*86400)</f>
        <v>0.36693881295294012</v>
      </c>
      <c r="H3" s="1" t="s">
        <v>14</v>
      </c>
      <c r="I3" s="1" t="s">
        <v>22</v>
      </c>
      <c r="J3" s="1" t="s">
        <v>20</v>
      </c>
    </row>
    <row r="4" spans="1:22" x14ac:dyDescent="0.25">
      <c r="A4" s="1">
        <v>2</v>
      </c>
      <c r="B4" s="1" t="s">
        <v>23</v>
      </c>
      <c r="C4" s="18">
        <v>8797</v>
      </c>
      <c r="D4" s="1">
        <v>40</v>
      </c>
      <c r="E4" s="20">
        <v>1.3646990740740739E-3</v>
      </c>
      <c r="F4" s="11">
        <f t="shared" ref="F4:F30" si="0">C4/(E4*86400)</f>
        <v>74.607751675006369</v>
      </c>
      <c r="G4" s="11">
        <f t="shared" ref="G4:G30" si="1">D4/(E4*86400)</f>
        <v>0.33924179458909343</v>
      </c>
      <c r="H4" s="1" t="s">
        <v>14</v>
      </c>
      <c r="I4" s="1" t="s">
        <v>22</v>
      </c>
      <c r="J4" s="1" t="s">
        <v>20</v>
      </c>
    </row>
    <row r="5" spans="1:22" x14ac:dyDescent="0.25">
      <c r="A5" s="1">
        <v>3</v>
      </c>
      <c r="B5" s="1" t="s">
        <v>23</v>
      </c>
      <c r="C5" s="18">
        <v>9172</v>
      </c>
      <c r="D5" s="1">
        <v>40</v>
      </c>
      <c r="E5" s="20">
        <v>1.2773148148148149E-3</v>
      </c>
      <c r="F5" s="11">
        <f t="shared" si="0"/>
        <v>83.109822399420068</v>
      </c>
      <c r="G5" s="11">
        <f t="shared" si="1"/>
        <v>0.36245016310257333</v>
      </c>
      <c r="H5" s="1" t="s">
        <v>14</v>
      </c>
      <c r="I5" s="1" t="s">
        <v>22</v>
      </c>
      <c r="J5" s="1" t="s">
        <v>20</v>
      </c>
    </row>
    <row r="6" spans="1:22" x14ac:dyDescent="0.25">
      <c r="A6" s="1">
        <v>4</v>
      </c>
      <c r="B6" s="1" t="s">
        <v>23</v>
      </c>
      <c r="C6" s="18">
        <v>8856</v>
      </c>
      <c r="D6" s="1">
        <v>40</v>
      </c>
      <c r="E6" s="20">
        <v>1.2760416666666666E-3</v>
      </c>
      <c r="F6" s="11">
        <f t="shared" si="0"/>
        <v>80.326530612244895</v>
      </c>
      <c r="G6" s="11">
        <f t="shared" si="1"/>
        <v>0.36281179138321995</v>
      </c>
      <c r="H6" s="1" t="s">
        <v>14</v>
      </c>
      <c r="I6" s="1" t="s">
        <v>22</v>
      </c>
      <c r="J6" s="1" t="s">
        <v>20</v>
      </c>
    </row>
    <row r="7" spans="1:22" x14ac:dyDescent="0.25">
      <c r="A7" s="1">
        <v>5</v>
      </c>
      <c r="B7" s="1" t="s">
        <v>23</v>
      </c>
      <c r="C7" s="18">
        <v>8842</v>
      </c>
      <c r="D7" s="1">
        <v>40</v>
      </c>
      <c r="E7" s="20">
        <v>1.2130787037037036E-3</v>
      </c>
      <c r="F7" s="11">
        <f t="shared" si="0"/>
        <v>84.362179181375836</v>
      </c>
      <c r="G7" s="11">
        <f t="shared" si="1"/>
        <v>0.38164297299875971</v>
      </c>
      <c r="H7" s="1" t="s">
        <v>14</v>
      </c>
      <c r="I7" s="1" t="s">
        <v>25</v>
      </c>
      <c r="J7" s="1" t="s">
        <v>20</v>
      </c>
      <c r="K7" s="9" t="s">
        <v>23</v>
      </c>
      <c r="L7" s="4">
        <v>8907</v>
      </c>
      <c r="M7" s="10">
        <v>40</v>
      </c>
      <c r="N7" s="7">
        <v>1.2785648148148131E-3</v>
      </c>
      <c r="O7" s="11">
        <v>80.751256773609427</v>
      </c>
      <c r="P7" s="11">
        <v>0.36262934441472922</v>
      </c>
      <c r="R7" s="12"/>
      <c r="T7" s="8"/>
      <c r="U7" s="23"/>
      <c r="V7" s="23"/>
    </row>
    <row r="8" spans="1:22" x14ac:dyDescent="0.25">
      <c r="A8" s="1">
        <v>6</v>
      </c>
      <c r="B8" s="1" t="s">
        <v>26</v>
      </c>
      <c r="C8" s="18">
        <v>9596</v>
      </c>
      <c r="D8" s="1">
        <v>40</v>
      </c>
      <c r="E8" s="20">
        <v>1.2928240740740741E-3</v>
      </c>
      <c r="F8" s="11">
        <f t="shared" si="0"/>
        <v>85.908683974932856</v>
      </c>
      <c r="G8" s="11">
        <f t="shared" si="1"/>
        <v>0.35810205908683973</v>
      </c>
      <c r="H8" s="1" t="s">
        <v>14</v>
      </c>
      <c r="I8" s="1" t="s">
        <v>21</v>
      </c>
      <c r="J8" s="1" t="s">
        <v>20</v>
      </c>
    </row>
    <row r="9" spans="1:22" x14ac:dyDescent="0.25">
      <c r="A9" s="1">
        <v>7</v>
      </c>
      <c r="B9" s="1" t="s">
        <v>26</v>
      </c>
      <c r="C9" s="18">
        <v>8880</v>
      </c>
      <c r="D9" s="1">
        <v>40</v>
      </c>
      <c r="E9" s="20">
        <v>1.4170138888888889E-3</v>
      </c>
      <c r="F9" s="11">
        <f t="shared" si="0"/>
        <v>72.531242342563104</v>
      </c>
      <c r="G9" s="11">
        <f t="shared" si="1"/>
        <v>0.32671730784938335</v>
      </c>
      <c r="H9" s="1" t="s">
        <v>14</v>
      </c>
      <c r="I9" s="1" t="s">
        <v>21</v>
      </c>
      <c r="J9" s="1" t="s">
        <v>20</v>
      </c>
      <c r="K9" s="9" t="s">
        <v>26</v>
      </c>
      <c r="L9" s="4">
        <v>9238</v>
      </c>
      <c r="M9" s="10">
        <v>40</v>
      </c>
      <c r="N9" s="7">
        <v>1.35491898148148E-3</v>
      </c>
      <c r="O9" s="11">
        <v>79.219963158748001</v>
      </c>
      <c r="P9" s="11">
        <v>0.34240968346811151</v>
      </c>
    </row>
    <row r="10" spans="1:22" x14ac:dyDescent="0.25">
      <c r="A10" s="1">
        <v>8</v>
      </c>
      <c r="B10" s="1" t="s">
        <v>29</v>
      </c>
      <c r="C10" s="21">
        <v>8790</v>
      </c>
      <c r="D10" s="1">
        <v>40</v>
      </c>
      <c r="E10" s="22">
        <v>1.3657407407407407E-3</v>
      </c>
      <c r="F10" s="11">
        <f t="shared" si="0"/>
        <v>74.491525423728817</v>
      </c>
      <c r="G10" s="11">
        <f t="shared" si="1"/>
        <v>0.33898305084745761</v>
      </c>
      <c r="H10" s="1" t="s">
        <v>14</v>
      </c>
      <c r="I10" s="1" t="s">
        <v>22</v>
      </c>
      <c r="J10" s="1" t="s">
        <v>19</v>
      </c>
    </row>
    <row r="11" spans="1:22" x14ac:dyDescent="0.25">
      <c r="A11" s="1">
        <v>9</v>
      </c>
      <c r="B11" s="1" t="s">
        <v>29</v>
      </c>
      <c r="C11" s="21">
        <v>8596</v>
      </c>
      <c r="D11" s="1">
        <v>40</v>
      </c>
      <c r="E11" s="22">
        <v>1.3396990740740741E-3</v>
      </c>
      <c r="F11" s="11">
        <f t="shared" si="0"/>
        <v>74.263498920086391</v>
      </c>
      <c r="G11" s="11">
        <f t="shared" si="1"/>
        <v>0.34557235421166305</v>
      </c>
      <c r="H11" s="1" t="s">
        <v>14</v>
      </c>
      <c r="I11" s="1" t="s">
        <v>22</v>
      </c>
      <c r="J11" s="1" t="s">
        <v>19</v>
      </c>
    </row>
    <row r="12" spans="1:22" x14ac:dyDescent="0.25">
      <c r="A12" s="1">
        <v>10</v>
      </c>
      <c r="B12" s="1" t="s">
        <v>29</v>
      </c>
      <c r="C12" s="21">
        <v>8618</v>
      </c>
      <c r="D12" s="1">
        <v>40</v>
      </c>
      <c r="E12" s="22">
        <v>1.3188657407407407E-3</v>
      </c>
      <c r="F12" s="11">
        <f t="shared" si="0"/>
        <v>75.62966213251427</v>
      </c>
      <c r="G12" s="11">
        <f t="shared" si="1"/>
        <v>0.35103115401491886</v>
      </c>
      <c r="H12" s="1" t="s">
        <v>14</v>
      </c>
      <c r="I12" s="1" t="s">
        <v>22</v>
      </c>
      <c r="J12" s="1" t="s">
        <v>19</v>
      </c>
    </row>
    <row r="13" spans="1:22" x14ac:dyDescent="0.25">
      <c r="A13" s="1">
        <v>11</v>
      </c>
      <c r="B13" s="1" t="s">
        <v>29</v>
      </c>
      <c r="C13" s="21">
        <v>9056</v>
      </c>
      <c r="D13" s="1">
        <v>40</v>
      </c>
      <c r="E13" s="22">
        <v>1.1377314814814815E-3</v>
      </c>
      <c r="F13" s="11">
        <f>C13/(E13*86400)</f>
        <v>92.126144455747706</v>
      </c>
      <c r="G13" s="11">
        <f t="shared" si="1"/>
        <v>0.40691759918616477</v>
      </c>
      <c r="H13" s="1" t="s">
        <v>30</v>
      </c>
      <c r="I13" s="1" t="s">
        <v>22</v>
      </c>
      <c r="J13" s="1" t="s">
        <v>19</v>
      </c>
      <c r="K13" s="9" t="s">
        <v>29</v>
      </c>
      <c r="L13" s="4">
        <v>8765</v>
      </c>
      <c r="M13" s="10">
        <v>40</v>
      </c>
      <c r="N13" s="7">
        <v>1.2905092592592575E-3</v>
      </c>
      <c r="O13" s="11">
        <v>79.127707733019292</v>
      </c>
      <c r="P13" s="11">
        <v>0.36062603956505124</v>
      </c>
      <c r="R13" s="12"/>
      <c r="T13" s="8"/>
      <c r="U13" s="23"/>
      <c r="V13" s="23"/>
    </row>
    <row r="14" spans="1:22" x14ac:dyDescent="0.25">
      <c r="A14" s="1">
        <v>12</v>
      </c>
      <c r="B14" s="1" t="s">
        <v>31</v>
      </c>
      <c r="C14" s="21">
        <v>8090</v>
      </c>
      <c r="D14" s="1">
        <v>40</v>
      </c>
      <c r="E14" s="22">
        <v>1.3593750000000001E-3</v>
      </c>
      <c r="F14" s="11">
        <f t="shared" si="0"/>
        <v>68.880374627501055</v>
      </c>
      <c r="G14" s="11">
        <f t="shared" si="1"/>
        <v>0.3405704555129842</v>
      </c>
      <c r="H14" s="1" t="s">
        <v>14</v>
      </c>
      <c r="I14" s="1" t="s">
        <v>22</v>
      </c>
      <c r="J14" s="1" t="s">
        <v>19</v>
      </c>
    </row>
    <row r="15" spans="1:22" x14ac:dyDescent="0.25">
      <c r="A15" s="1">
        <v>13</v>
      </c>
      <c r="B15" s="1" t="s">
        <v>31</v>
      </c>
      <c r="C15" s="21">
        <v>8548</v>
      </c>
      <c r="D15" s="1">
        <v>40</v>
      </c>
      <c r="E15" s="22">
        <v>1.2342592592592592E-3</v>
      </c>
      <c r="F15" s="11">
        <f t="shared" si="0"/>
        <v>80.157539384846217</v>
      </c>
      <c r="G15" s="11">
        <f t="shared" si="1"/>
        <v>0.37509377344336087</v>
      </c>
      <c r="H15" s="1" t="s">
        <v>14</v>
      </c>
      <c r="I15" s="1" t="s">
        <v>22</v>
      </c>
      <c r="J15" s="1" t="s">
        <v>19</v>
      </c>
    </row>
    <row r="16" spans="1:22" x14ac:dyDescent="0.25">
      <c r="A16" s="1">
        <v>14</v>
      </c>
      <c r="B16" s="1" t="s">
        <v>31</v>
      </c>
      <c r="C16" s="21">
        <v>8673</v>
      </c>
      <c r="D16" s="1">
        <v>40</v>
      </c>
      <c r="E16" s="22">
        <v>1.2853009259259258E-3</v>
      </c>
      <c r="F16" s="11">
        <f t="shared" si="0"/>
        <v>78.099954975236386</v>
      </c>
      <c r="G16" s="11">
        <f t="shared" si="1"/>
        <v>0.36019810895992799</v>
      </c>
      <c r="H16" s="1" t="s">
        <v>14</v>
      </c>
      <c r="I16" s="1" t="s">
        <v>22</v>
      </c>
      <c r="J16" s="1" t="s">
        <v>19</v>
      </c>
      <c r="K16" s="9" t="s">
        <v>31</v>
      </c>
      <c r="L16" s="4">
        <v>8437</v>
      </c>
      <c r="M16" s="10">
        <v>40</v>
      </c>
      <c r="N16" s="7">
        <v>1.29297839506173E-3</v>
      </c>
      <c r="O16" s="11">
        <v>75.712622995861238</v>
      </c>
      <c r="P16" s="11">
        <v>0.35862077930542435</v>
      </c>
      <c r="R16" s="12"/>
      <c r="T16" s="8"/>
      <c r="U16" s="23"/>
      <c r="V16" s="23"/>
    </row>
    <row r="17" spans="1:18" x14ac:dyDescent="0.25">
      <c r="A17" s="1">
        <v>15</v>
      </c>
      <c r="B17" s="1" t="s">
        <v>38</v>
      </c>
      <c r="C17" s="21">
        <v>8494</v>
      </c>
      <c r="D17" s="1">
        <v>41</v>
      </c>
      <c r="E17" s="22">
        <v>1.4030092592592592E-3</v>
      </c>
      <c r="F17" s="11">
        <f t="shared" si="0"/>
        <v>70.070945388549745</v>
      </c>
      <c r="G17" s="11">
        <f t="shared" si="1"/>
        <v>0.33822801517901335</v>
      </c>
      <c r="H17" s="1" t="s">
        <v>14</v>
      </c>
      <c r="I17" s="1" t="s">
        <v>21</v>
      </c>
      <c r="J17" s="1" t="s">
        <v>20</v>
      </c>
    </row>
    <row r="18" spans="1:18" x14ac:dyDescent="0.25">
      <c r="A18" s="1">
        <v>16</v>
      </c>
      <c r="B18" s="1" t="s">
        <v>38</v>
      </c>
      <c r="C18" s="21">
        <v>8800</v>
      </c>
      <c r="D18" s="1">
        <v>40</v>
      </c>
      <c r="E18" s="22">
        <v>1.2951388888888889E-3</v>
      </c>
      <c r="F18" s="11">
        <f t="shared" si="0"/>
        <v>78.641644325290443</v>
      </c>
      <c r="G18" s="11">
        <f t="shared" si="1"/>
        <v>0.35746201966041113</v>
      </c>
      <c r="H18" s="1" t="s">
        <v>14</v>
      </c>
      <c r="I18" s="1" t="s">
        <v>21</v>
      </c>
      <c r="J18" s="1" t="s">
        <v>20</v>
      </c>
    </row>
    <row r="19" spans="1:18" x14ac:dyDescent="0.25">
      <c r="A19" s="1">
        <v>17</v>
      </c>
      <c r="B19" s="1" t="s">
        <v>38</v>
      </c>
      <c r="C19" s="21">
        <v>8406</v>
      </c>
      <c r="D19" s="1">
        <v>40</v>
      </c>
      <c r="E19" s="22">
        <v>1.249189814814815E-3</v>
      </c>
      <c r="F19" s="11">
        <f t="shared" si="0"/>
        <v>77.883813582877792</v>
      </c>
      <c r="G19" s="11">
        <f t="shared" si="1"/>
        <v>0.3706105809320856</v>
      </c>
      <c r="H19" s="1" t="s">
        <v>14</v>
      </c>
      <c r="I19" s="1" t="s">
        <v>21</v>
      </c>
      <c r="J19" s="1" t="s">
        <v>20</v>
      </c>
      <c r="R19" s="1"/>
    </row>
    <row r="20" spans="1:18" x14ac:dyDescent="0.25">
      <c r="A20" s="1">
        <v>18</v>
      </c>
      <c r="B20" s="1" t="s">
        <v>38</v>
      </c>
      <c r="C20" s="21">
        <v>9348</v>
      </c>
      <c r="D20" s="1">
        <v>40</v>
      </c>
      <c r="E20" s="22">
        <v>1.1894675925925927E-3</v>
      </c>
      <c r="F20" s="11">
        <f t="shared" si="0"/>
        <v>90.960397003016439</v>
      </c>
      <c r="G20" s="11">
        <f t="shared" si="1"/>
        <v>0.3892186435730271</v>
      </c>
      <c r="H20" s="1" t="s">
        <v>14</v>
      </c>
      <c r="I20" s="1" t="s">
        <v>21</v>
      </c>
      <c r="J20" s="1" t="s">
        <v>20</v>
      </c>
    </row>
    <row r="21" spans="1:18" x14ac:dyDescent="0.25">
      <c r="A21" s="1">
        <v>19</v>
      </c>
      <c r="B21" s="1" t="s">
        <v>38</v>
      </c>
      <c r="C21" s="21">
        <v>8990</v>
      </c>
      <c r="D21" s="1">
        <v>40</v>
      </c>
      <c r="E21" s="22">
        <v>1.2288194444444445E-3</v>
      </c>
      <c r="F21" s="11">
        <f t="shared" si="0"/>
        <v>84.675520391824435</v>
      </c>
      <c r="G21" s="11">
        <f t="shared" si="1"/>
        <v>0.37675426203258922</v>
      </c>
      <c r="H21" s="1" t="s">
        <v>14</v>
      </c>
      <c r="I21" s="1" t="s">
        <v>21</v>
      </c>
      <c r="J21" s="1" t="s">
        <v>20</v>
      </c>
    </row>
    <row r="22" spans="1:18" x14ac:dyDescent="0.25">
      <c r="A22" s="1">
        <v>20</v>
      </c>
      <c r="B22" s="1" t="s">
        <v>38</v>
      </c>
      <c r="C22" s="21">
        <v>8274</v>
      </c>
      <c r="D22" s="1">
        <v>41</v>
      </c>
      <c r="E22" s="22">
        <v>1.566898148148148E-3</v>
      </c>
      <c r="F22" s="11">
        <f t="shared" si="0"/>
        <v>61.116856256463294</v>
      </c>
      <c r="G22" s="11">
        <f t="shared" si="1"/>
        <v>0.30285123356478061</v>
      </c>
      <c r="H22" s="1" t="s">
        <v>14</v>
      </c>
      <c r="I22" s="1" t="s">
        <v>21</v>
      </c>
      <c r="J22" s="1" t="s">
        <v>20</v>
      </c>
      <c r="K22" s="9" t="s">
        <v>38</v>
      </c>
      <c r="L22" s="4">
        <v>8718.6666666666661</v>
      </c>
      <c r="M22" s="10">
        <v>40.333333333333336</v>
      </c>
      <c r="N22" s="7">
        <v>1.3220871913580232E-3</v>
      </c>
      <c r="O22" s="11">
        <v>77.224862824670325</v>
      </c>
      <c r="P22" s="11">
        <v>0.35585412582365117</v>
      </c>
    </row>
    <row r="23" spans="1:18" x14ac:dyDescent="0.25">
      <c r="A23" s="1">
        <v>21</v>
      </c>
      <c r="B23" s="1" t="s">
        <v>40</v>
      </c>
      <c r="C23" s="21">
        <v>8640</v>
      </c>
      <c r="D23" s="1">
        <v>40</v>
      </c>
      <c r="E23" s="22">
        <v>1.4909722222222221E-3</v>
      </c>
      <c r="F23" s="11">
        <f t="shared" si="0"/>
        <v>67.070330693991622</v>
      </c>
      <c r="G23" s="11">
        <f t="shared" si="1"/>
        <v>0.3105107902499612</v>
      </c>
      <c r="H23" s="1" t="s">
        <v>14</v>
      </c>
      <c r="I23" s="1" t="s">
        <v>21</v>
      </c>
      <c r="J23" s="1" t="s">
        <v>20</v>
      </c>
    </row>
    <row r="24" spans="1:18" x14ac:dyDescent="0.25">
      <c r="A24" s="1">
        <v>22</v>
      </c>
      <c r="B24" s="1" t="s">
        <v>40</v>
      </c>
      <c r="C24" s="21">
        <v>7521</v>
      </c>
      <c r="D24" s="1">
        <v>40</v>
      </c>
      <c r="E24" s="22">
        <v>1.6304398148148148E-3</v>
      </c>
      <c r="F24" s="11">
        <f t="shared" si="0"/>
        <v>53.389650031944342</v>
      </c>
      <c r="G24" s="11">
        <f t="shared" si="1"/>
        <v>0.28394974089586145</v>
      </c>
      <c r="H24" s="1" t="s">
        <v>15</v>
      </c>
      <c r="I24" s="1" t="s">
        <v>21</v>
      </c>
      <c r="J24" s="1" t="s">
        <v>20</v>
      </c>
      <c r="K24" s="9" t="s">
        <v>40</v>
      </c>
      <c r="L24" s="4">
        <v>8080.5</v>
      </c>
      <c r="M24" s="10">
        <v>40</v>
      </c>
      <c r="N24" s="7">
        <v>1.5607060185185149E-3</v>
      </c>
      <c r="O24" s="11">
        <v>60.229990362967946</v>
      </c>
      <c r="P24" s="11">
        <v>0.29723026557291099</v>
      </c>
    </row>
    <row r="25" spans="1:18" x14ac:dyDescent="0.25">
      <c r="A25" s="1">
        <v>23</v>
      </c>
      <c r="B25" s="1" t="s">
        <v>41</v>
      </c>
      <c r="C25" s="21">
        <v>8140</v>
      </c>
      <c r="D25" s="1">
        <v>40</v>
      </c>
      <c r="E25" s="22">
        <v>1.4401620370370371E-3</v>
      </c>
      <c r="F25" s="11">
        <f t="shared" si="0"/>
        <v>65.41830748211845</v>
      </c>
      <c r="G25" s="11">
        <f t="shared" si="1"/>
        <v>0.32146588443301455</v>
      </c>
      <c r="H25" s="1" t="s">
        <v>14</v>
      </c>
      <c r="I25" s="1" t="s">
        <v>21</v>
      </c>
      <c r="J25" s="1" t="s">
        <v>19</v>
      </c>
    </row>
    <row r="26" spans="1:18" x14ac:dyDescent="0.25">
      <c r="A26" s="1">
        <v>24</v>
      </c>
      <c r="B26" s="1" t="s">
        <v>41</v>
      </c>
      <c r="C26" s="21">
        <v>8982</v>
      </c>
      <c r="D26" s="1">
        <v>42</v>
      </c>
      <c r="E26" s="22">
        <v>1.2997685185185185E-3</v>
      </c>
      <c r="F26" s="11">
        <f t="shared" si="0"/>
        <v>79.982190560997324</v>
      </c>
      <c r="G26" s="11">
        <f t="shared" si="1"/>
        <v>0.37399821905609976</v>
      </c>
      <c r="H26" s="1" t="s">
        <v>14</v>
      </c>
      <c r="I26" s="1" t="s">
        <v>21</v>
      </c>
      <c r="J26" s="1" t="s">
        <v>19</v>
      </c>
    </row>
    <row r="27" spans="1:18" x14ac:dyDescent="0.25">
      <c r="A27" s="1">
        <v>25</v>
      </c>
      <c r="B27" s="1" t="s">
        <v>41</v>
      </c>
      <c r="C27" s="21">
        <v>8986</v>
      </c>
      <c r="D27" s="1">
        <v>40</v>
      </c>
      <c r="E27" s="22">
        <v>1.1704861111111111E-3</v>
      </c>
      <c r="F27" s="11">
        <f t="shared" si="0"/>
        <v>88.855928013448036</v>
      </c>
      <c r="G27" s="11">
        <f t="shared" si="1"/>
        <v>0.39553050529022055</v>
      </c>
      <c r="H27" s="1" t="s">
        <v>14</v>
      </c>
      <c r="I27" s="1" t="s">
        <v>21</v>
      </c>
      <c r="J27" s="1" t="s">
        <v>19</v>
      </c>
      <c r="K27" s="9" t="s">
        <v>41</v>
      </c>
      <c r="L27" s="4">
        <v>8702.6666666666661</v>
      </c>
      <c r="M27" s="10">
        <v>40.666666666666664</v>
      </c>
      <c r="N27" s="7">
        <v>1.303472222222223E-3</v>
      </c>
      <c r="O27" s="11">
        <v>78.085475352187927</v>
      </c>
      <c r="P27" s="11">
        <v>0.36366486959311195</v>
      </c>
    </row>
    <row r="28" spans="1:18" x14ac:dyDescent="0.25">
      <c r="A28" s="1">
        <v>26</v>
      </c>
      <c r="B28" s="1" t="s">
        <v>42</v>
      </c>
      <c r="C28" s="21">
        <v>9166</v>
      </c>
      <c r="D28" s="1">
        <v>40</v>
      </c>
      <c r="E28" s="22">
        <v>1.2295138888888887E-3</v>
      </c>
      <c r="F28" s="11">
        <f t="shared" si="0"/>
        <v>86.284477078038222</v>
      </c>
      <c r="G28" s="11">
        <f t="shared" si="1"/>
        <v>0.37654146662901256</v>
      </c>
      <c r="H28" s="1" t="s">
        <v>14</v>
      </c>
      <c r="I28" s="1" t="s">
        <v>21</v>
      </c>
      <c r="J28" s="1" t="s">
        <v>20</v>
      </c>
    </row>
    <row r="29" spans="1:18" x14ac:dyDescent="0.25">
      <c r="A29" s="1">
        <v>27</v>
      </c>
      <c r="B29" s="1" t="s">
        <v>42</v>
      </c>
      <c r="C29" s="21">
        <v>8702</v>
      </c>
      <c r="D29" s="1">
        <v>40</v>
      </c>
      <c r="E29" s="22">
        <v>1.1560185185185185E-3</v>
      </c>
      <c r="F29" s="11">
        <f t="shared" si="0"/>
        <v>87.124549459351229</v>
      </c>
      <c r="G29" s="11">
        <f t="shared" si="1"/>
        <v>0.40048057669203047</v>
      </c>
      <c r="H29" s="1" t="s">
        <v>30</v>
      </c>
      <c r="I29" s="1" t="s">
        <v>21</v>
      </c>
      <c r="J29" s="1" t="s">
        <v>20</v>
      </c>
    </row>
    <row r="30" spans="1:18" x14ac:dyDescent="0.25">
      <c r="A30" s="1">
        <v>28</v>
      </c>
      <c r="B30" s="1" t="s">
        <v>42</v>
      </c>
      <c r="C30" s="21">
        <v>8648</v>
      </c>
      <c r="D30" s="1">
        <v>40</v>
      </c>
      <c r="E30" s="22">
        <v>1.1354166666666665E-3</v>
      </c>
      <c r="F30" s="11">
        <f t="shared" si="0"/>
        <v>88.154943934760453</v>
      </c>
      <c r="G30" s="11">
        <f t="shared" si="1"/>
        <v>0.40774719673802245</v>
      </c>
      <c r="H30" s="1" t="s">
        <v>30</v>
      </c>
      <c r="I30" s="1" t="s">
        <v>21</v>
      </c>
      <c r="J30" s="1" t="s">
        <v>20</v>
      </c>
      <c r="K30" s="9" t="s">
        <v>42</v>
      </c>
      <c r="L30" s="4">
        <v>8838.6666666666661</v>
      </c>
      <c r="M30" s="10">
        <v>40</v>
      </c>
      <c r="N30" s="7">
        <v>1.173649691358027E-3</v>
      </c>
      <c r="O30" s="11">
        <v>87.187990157383297</v>
      </c>
      <c r="P30" s="11">
        <v>0.39492308001968834</v>
      </c>
    </row>
  </sheetData>
  <mergeCells count="10">
    <mergeCell ref="G1:G2"/>
    <mergeCell ref="H1:H2"/>
    <mergeCell ref="I1:I2"/>
    <mergeCell ref="J1:J2"/>
    <mergeCell ref="A1:A2"/>
    <mergeCell ref="B1:B2"/>
    <mergeCell ref="C1:C2"/>
    <mergeCell ref="D1:D2"/>
    <mergeCell ref="E1:E2"/>
    <mergeCell ref="F1:F2"/>
  </mergeCells>
  <conditionalFormatting sqref="C1:C1048576">
    <cfRule type="top10" dxfId="93" priority="63" percent="1" rank="10"/>
  </conditionalFormatting>
  <conditionalFormatting sqref="D1:D2">
    <cfRule type="top10" dxfId="92" priority="62" percent="1" rank="10"/>
  </conditionalFormatting>
  <conditionalFormatting sqref="I3:I30">
    <cfRule type="containsText" dxfId="91" priority="42" operator="containsText" text="Switch">
      <formula>NOT(ISERROR(SEARCH("Switch",I3)))</formula>
    </cfRule>
  </conditionalFormatting>
  <conditionalFormatting sqref="E1:E1048576">
    <cfRule type="top10" dxfId="90" priority="41" percent="1" bottom="1" rank="10"/>
  </conditionalFormatting>
  <conditionalFormatting sqref="F1:F1048576">
    <cfRule type="top10" dxfId="89" priority="40" percent="1" rank="10"/>
  </conditionalFormatting>
  <conditionalFormatting sqref="G1:G1048576">
    <cfRule type="top10" dxfId="88" priority="39" percent="1" rank="10"/>
  </conditionalFormatting>
  <conditionalFormatting sqref="J1:J1048576">
    <cfRule type="containsText" dxfId="87" priority="18" operator="containsText" text="Null">
      <formula>NOT(ISERROR(SEARCH("Null",J1)))</formula>
    </cfRule>
    <cfRule type="containsText" dxfId="86" priority="33" operator="containsText" text="YT Videos">
      <formula>NOT(ISERROR(SEARCH("YT Videos",J1)))</formula>
    </cfRule>
  </conditionalFormatting>
  <conditionalFormatting sqref="H1:H1048576">
    <cfRule type="containsText" dxfId="85" priority="12" operator="containsText" text="Grade">
      <formula>NOT(ISERROR(SEARCH("Grade",H1)))</formula>
    </cfRule>
    <cfRule type="containsText" dxfId="84" priority="13" operator="containsText" text="S">
      <formula>NOT(ISERROR(SEARCH("S",H1)))</formula>
    </cfRule>
    <cfRule type="containsText" dxfId="83" priority="14" operator="containsText" text="A">
      <formula>NOT(ISERROR(SEARCH("A",H1)))</formula>
    </cfRule>
    <cfRule type="containsText" dxfId="82" priority="15" operator="containsText" text="B">
      <formula>NOT(ISERROR(SEARCH("B",H1)))</formula>
    </cfRule>
    <cfRule type="containsText" dxfId="81" priority="16" operator="containsText" text="C">
      <formula>NOT(ISERROR(SEARCH("C",H1)))</formula>
    </cfRule>
    <cfRule type="containsText" dxfId="80" priority="17" operator="containsText" text="D">
      <formula>NOT(ISERROR(SEARCH("D",H1)))</formula>
    </cfRule>
  </conditionalFormatting>
  <conditionalFormatting sqref="L1:L18 L20:L1048576">
    <cfRule type="containsText" dxfId="79" priority="10" operator="containsText" text="Score">
      <formula>NOT(ISERROR(SEARCH("Score",L1)))</formula>
    </cfRule>
    <cfRule type="expression" dxfId="78" priority="11">
      <formula>$L1 &gt; $L$2</formula>
    </cfRule>
  </conditionalFormatting>
  <conditionalFormatting sqref="M1:M18 M20:M1048576">
    <cfRule type="expression" dxfId="77" priority="9">
      <formula>$M1 &gt;= $M$2</formula>
    </cfRule>
  </conditionalFormatting>
  <conditionalFormatting sqref="N1:N18 N20:N1048576">
    <cfRule type="containsText" dxfId="76" priority="6" operator="containsText" text="Time">
      <formula>NOT(ISERROR(SEARCH("Time",N1)))</formula>
    </cfRule>
    <cfRule type="expression" dxfId="75" priority="7">
      <formula>$N1 &lt; $N$2</formula>
    </cfRule>
  </conditionalFormatting>
  <conditionalFormatting sqref="O1:O18 O20:O1048576">
    <cfRule type="containsText" dxfId="74" priority="4" operator="containsText" text="Score/Sec">
      <formula>NOT(ISERROR(SEARCH("Score/Sec",O1)))</formula>
    </cfRule>
    <cfRule type="expression" dxfId="73" priority="5">
      <formula>$O1 &gt; $O$2</formula>
    </cfRule>
  </conditionalFormatting>
  <conditionalFormatting sqref="P1:P18 P20:P1048576">
    <cfRule type="containsText" dxfId="72" priority="2" operator="containsText" text="Lines/Sec">
      <formula>NOT(ISERROR(SEARCH("Lines/Sec",P1)))</formula>
    </cfRule>
    <cfRule type="expression" dxfId="71" priority="3">
      <formula>$P1 &gt; $P$2</formula>
    </cfRule>
  </conditionalFormatting>
  <conditionalFormatting sqref="R19">
    <cfRule type="containsText" dxfId="70" priority="76" operator="containsText" text="Lines/Sec">
      <formula>NOT(ISERROR(SEARCH("Lines/Sec",R19)))</formula>
    </cfRule>
    <cfRule type="expression" dxfId="69" priority="77">
      <formula>$R19 &gt; $P$2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Sprint">
          <controlPr defaultSize="0" autoLine="0" r:id="rId4">
            <anchor moveWithCells="1">
              <from>
                <xdr:col>10</xdr:col>
                <xdr:colOff>0</xdr:colOff>
                <xdr:row>0</xdr:row>
                <xdr:rowOff>9525</xdr:rowOff>
              </from>
              <to>
                <xdr:col>11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18433" r:id="rId3" name="Sprin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BB592-AC96-214E-BE21-420CD95FDDD9}">
  <sheetPr codeName="Sheet11"/>
  <dimension ref="A1:W21"/>
  <sheetViews>
    <sheetView workbookViewId="0">
      <selection activeCell="T19" sqref="T19"/>
    </sheetView>
  </sheetViews>
  <sheetFormatPr defaultRowHeight="18.75" x14ac:dyDescent="0.25"/>
  <cols>
    <col min="1" max="1" width="3.69921875" style="1" bestFit="1" customWidth="1"/>
    <col min="2" max="2" width="7.92578125" style="2" bestFit="1" customWidth="1"/>
    <col min="3" max="3" width="6.4453125" style="4" bestFit="1" customWidth="1"/>
    <col min="4" max="4" width="5.6015625" style="19" bestFit="1" customWidth="1"/>
    <col min="5" max="5" width="7.92578125" style="7" bestFit="1" customWidth="1"/>
    <col min="6" max="6" width="8.453125" style="11" bestFit="1" customWidth="1"/>
    <col min="7" max="7" width="8.875" style="11" bestFit="1" customWidth="1"/>
    <col min="8" max="8" width="5.6015625" style="1" bestFit="1" customWidth="1"/>
    <col min="9" max="9" width="7.609375" style="1" bestFit="1" customWidth="1"/>
    <col min="10" max="10" width="8.2421875" style="1" bestFit="1" customWidth="1"/>
    <col min="11" max="11" width="7.8203125" style="1" bestFit="1" customWidth="1"/>
    <col min="12" max="12" width="8.76953125" style="9"/>
    <col min="13" max="13" width="6.4453125" style="4" bestFit="1" customWidth="1"/>
    <col min="14" max="14" width="4.96484375" style="4" bestFit="1" customWidth="1"/>
    <col min="15" max="15" width="7.92578125" style="7" bestFit="1" customWidth="1"/>
    <col min="16" max="16" width="8.76953125" style="11"/>
    <col min="17" max="17" width="9.30078125" style="11" bestFit="1" customWidth="1"/>
  </cols>
  <sheetData>
    <row r="1" spans="1:23" x14ac:dyDescent="0.25">
      <c r="A1" s="34" t="s">
        <v>0</v>
      </c>
      <c r="B1" s="35" t="s">
        <v>1</v>
      </c>
      <c r="C1" s="33" t="s">
        <v>2</v>
      </c>
      <c r="D1" s="36" t="s">
        <v>32</v>
      </c>
      <c r="E1" s="38" t="s">
        <v>4</v>
      </c>
      <c r="F1" s="39" t="s">
        <v>6</v>
      </c>
      <c r="G1" s="39" t="s">
        <v>34</v>
      </c>
      <c r="H1" s="34" t="s">
        <v>5</v>
      </c>
      <c r="I1" s="34" t="s">
        <v>9</v>
      </c>
      <c r="J1" s="34" t="s">
        <v>8</v>
      </c>
      <c r="K1" s="42" t="s">
        <v>35</v>
      </c>
      <c r="M1" s="14" t="s">
        <v>2</v>
      </c>
      <c r="N1" s="14" t="s">
        <v>32</v>
      </c>
      <c r="O1" s="15" t="s">
        <v>4</v>
      </c>
      <c r="P1" s="17" t="s">
        <v>6</v>
      </c>
      <c r="Q1" s="17" t="s">
        <v>34</v>
      </c>
    </row>
    <row r="2" spans="1:23" x14ac:dyDescent="0.25">
      <c r="A2" s="34"/>
      <c r="B2" s="35"/>
      <c r="C2" s="33"/>
      <c r="D2" s="36"/>
      <c r="E2" s="38"/>
      <c r="F2" s="39"/>
      <c r="G2" s="39"/>
      <c r="H2" s="34"/>
      <c r="I2" s="34"/>
      <c r="J2" s="34"/>
      <c r="K2" s="42"/>
      <c r="M2" s="14">
        <f>AVERAGE(C:C)</f>
        <v>26696.416666666668</v>
      </c>
      <c r="N2" s="14">
        <f>AVERAGE(D:D)</f>
        <v>342.83333333333331</v>
      </c>
      <c r="O2" s="15">
        <f>AVERAGE(E:E)</f>
        <v>4.6397955246913584E-3</v>
      </c>
      <c r="P2" s="17">
        <f>AVERAGE(F:F)</f>
        <v>65.391345901957038</v>
      </c>
      <c r="Q2" s="17">
        <f>AVERAGE(G:G)</f>
        <v>0.85104557148810667</v>
      </c>
    </row>
    <row r="3" spans="1:23" x14ac:dyDescent="0.25">
      <c r="A3" s="1">
        <v>1</v>
      </c>
      <c r="B3" s="2" t="s">
        <v>33</v>
      </c>
      <c r="C3" s="4">
        <v>28228</v>
      </c>
      <c r="D3" s="19">
        <v>405</v>
      </c>
      <c r="E3" s="7">
        <v>4.9562500000000006E-3</v>
      </c>
      <c r="F3" s="11">
        <f t="shared" ref="F3:F14" si="0">C3/(E3*86400)</f>
        <v>65.91938723086264</v>
      </c>
      <c r="G3" s="11">
        <f t="shared" ref="G3:G14" si="1">D3/(E3*86400)</f>
        <v>0.94577553593947028</v>
      </c>
      <c r="H3" s="1" t="s">
        <v>16</v>
      </c>
      <c r="I3" s="1" t="s">
        <v>22</v>
      </c>
      <c r="J3" s="1" t="s">
        <v>19</v>
      </c>
      <c r="K3" s="1" t="s">
        <v>36</v>
      </c>
    </row>
    <row r="4" spans="1:23" x14ac:dyDescent="0.25">
      <c r="A4" s="1">
        <v>2</v>
      </c>
      <c r="B4" s="2" t="s">
        <v>33</v>
      </c>
      <c r="C4" s="4">
        <v>31190</v>
      </c>
      <c r="D4" s="19">
        <v>388</v>
      </c>
      <c r="E4" s="7">
        <v>5.7957175925925928E-3</v>
      </c>
      <c r="F4" s="11">
        <f t="shared" si="0"/>
        <v>62.286570144782829</v>
      </c>
      <c r="G4" s="11">
        <f t="shared" si="1"/>
        <v>0.77483774338492262</v>
      </c>
      <c r="H4" s="1" t="s">
        <v>16</v>
      </c>
      <c r="I4" s="1" t="s">
        <v>22</v>
      </c>
      <c r="J4" s="1" t="s">
        <v>19</v>
      </c>
      <c r="K4" s="1" t="s">
        <v>36</v>
      </c>
    </row>
    <row r="5" spans="1:23" x14ac:dyDescent="0.25">
      <c r="A5" s="1">
        <v>3</v>
      </c>
      <c r="B5" s="2" t="s">
        <v>33</v>
      </c>
      <c r="C5" s="4">
        <v>7496</v>
      </c>
      <c r="D5" s="19">
        <v>140</v>
      </c>
      <c r="E5" s="7">
        <v>1.4030092592592592E-3</v>
      </c>
      <c r="F5" s="11">
        <f t="shared" si="0"/>
        <v>61.837980531265465</v>
      </c>
      <c r="G5" s="11">
        <f t="shared" si="1"/>
        <v>1.1549249298795579</v>
      </c>
      <c r="H5" s="1" t="s">
        <v>15</v>
      </c>
      <c r="I5" s="1" t="s">
        <v>21</v>
      </c>
      <c r="J5" s="1" t="s">
        <v>19</v>
      </c>
      <c r="K5" s="1" t="s">
        <v>36</v>
      </c>
    </row>
    <row r="6" spans="1:23" x14ac:dyDescent="0.25">
      <c r="A6" s="1">
        <v>4</v>
      </c>
      <c r="B6" s="2" t="s">
        <v>33</v>
      </c>
      <c r="C6" s="4">
        <v>19027</v>
      </c>
      <c r="D6" s="19">
        <v>212</v>
      </c>
      <c r="E6" s="7">
        <v>3.5105324074074075E-3</v>
      </c>
      <c r="F6" s="11">
        <f t="shared" si="0"/>
        <v>62.731199103227723</v>
      </c>
      <c r="G6" s="11">
        <f t="shared" si="1"/>
        <v>0.69895486465991885</v>
      </c>
      <c r="H6" s="1" t="s">
        <v>14</v>
      </c>
      <c r="I6" s="1" t="s">
        <v>21</v>
      </c>
      <c r="J6" s="1" t="s">
        <v>19</v>
      </c>
      <c r="K6" s="1" t="s">
        <v>37</v>
      </c>
    </row>
    <row r="7" spans="1:23" x14ac:dyDescent="0.25">
      <c r="A7" s="1">
        <v>5</v>
      </c>
      <c r="B7" s="2" t="s">
        <v>33</v>
      </c>
      <c r="C7" s="4">
        <v>49768</v>
      </c>
      <c r="D7" s="19">
        <v>602</v>
      </c>
      <c r="E7" s="7">
        <v>8.665277777777777E-3</v>
      </c>
      <c r="F7" s="11">
        <f t="shared" si="0"/>
        <v>66.47432815087889</v>
      </c>
      <c r="G7" s="11">
        <f t="shared" si="1"/>
        <v>0.80408185072394089</v>
      </c>
      <c r="H7" s="1" t="s">
        <v>24</v>
      </c>
      <c r="I7" s="1" t="s">
        <v>22</v>
      </c>
      <c r="J7" s="1" t="s">
        <v>19</v>
      </c>
      <c r="K7" s="1" t="s">
        <v>37</v>
      </c>
      <c r="L7" s="9" t="s">
        <v>33</v>
      </c>
      <c r="M7" s="4">
        <v>27141.8</v>
      </c>
      <c r="N7" s="4">
        <v>349.4</v>
      </c>
      <c r="O7" s="7">
        <v>4.8661574074074076E-3</v>
      </c>
      <c r="P7" s="11">
        <v>63.849815586030992</v>
      </c>
      <c r="Q7" s="11">
        <v>0.87575987772966857</v>
      </c>
      <c r="S7" s="12"/>
      <c r="T7" s="12"/>
      <c r="U7" s="8"/>
      <c r="V7" s="23"/>
      <c r="W7" s="23"/>
    </row>
    <row r="8" spans="1:23" x14ac:dyDescent="0.25">
      <c r="A8" s="1">
        <v>6</v>
      </c>
      <c r="B8" s="2" t="s">
        <v>38</v>
      </c>
      <c r="C8" s="4">
        <v>16215</v>
      </c>
      <c r="D8" s="19">
        <v>206</v>
      </c>
      <c r="E8" s="7">
        <v>2.8089120370370368E-3</v>
      </c>
      <c r="F8" s="11">
        <f t="shared" si="0"/>
        <v>66.813630557501341</v>
      </c>
      <c r="G8" s="11">
        <f t="shared" si="1"/>
        <v>0.84881948164324861</v>
      </c>
      <c r="H8" s="1" t="s">
        <v>14</v>
      </c>
      <c r="I8" s="1" t="s">
        <v>21</v>
      </c>
      <c r="J8" s="1" t="s">
        <v>20</v>
      </c>
      <c r="K8" s="1" t="s">
        <v>37</v>
      </c>
    </row>
    <row r="9" spans="1:23" x14ac:dyDescent="0.25">
      <c r="A9" s="1">
        <v>7</v>
      </c>
      <c r="B9" s="2" t="s">
        <v>38</v>
      </c>
      <c r="C9" s="4">
        <v>20274</v>
      </c>
      <c r="D9" s="19">
        <v>308</v>
      </c>
      <c r="E9" s="7">
        <v>3.2126157407407407E-3</v>
      </c>
      <c r="F9" s="11">
        <f t="shared" si="0"/>
        <v>73.041034693951076</v>
      </c>
      <c r="G9" s="11">
        <f t="shared" si="1"/>
        <v>1.1096300032424253</v>
      </c>
      <c r="H9" s="1" t="s">
        <v>30</v>
      </c>
      <c r="I9" s="1" t="s">
        <v>21</v>
      </c>
      <c r="J9" s="1" t="s">
        <v>20</v>
      </c>
      <c r="K9" s="1" t="s">
        <v>37</v>
      </c>
    </row>
    <row r="10" spans="1:23" x14ac:dyDescent="0.25">
      <c r="A10" s="1">
        <v>8</v>
      </c>
      <c r="B10" s="2" t="s">
        <v>38</v>
      </c>
      <c r="C10" s="4">
        <v>7781</v>
      </c>
      <c r="D10" s="19">
        <v>86</v>
      </c>
      <c r="E10" s="7">
        <v>1.4429398148148149E-3</v>
      </c>
      <c r="F10" s="11">
        <f t="shared" si="0"/>
        <v>62.412769712039783</v>
      </c>
      <c r="G10" s="11">
        <f t="shared" si="1"/>
        <v>0.68982112777733218</v>
      </c>
      <c r="H10" s="1" t="s">
        <v>15</v>
      </c>
      <c r="I10" s="1" t="s">
        <v>21</v>
      </c>
      <c r="J10" s="1" t="s">
        <v>20</v>
      </c>
      <c r="K10" s="1" t="s">
        <v>37</v>
      </c>
    </row>
    <row r="11" spans="1:23" x14ac:dyDescent="0.25">
      <c r="A11" s="1">
        <v>9</v>
      </c>
      <c r="B11" s="2" t="s">
        <v>38</v>
      </c>
      <c r="C11" s="4">
        <v>13770</v>
      </c>
      <c r="D11" s="19">
        <v>171</v>
      </c>
      <c r="E11" s="7">
        <v>2.5361111111111114E-3</v>
      </c>
      <c r="F11" s="11">
        <f t="shared" si="0"/>
        <v>62.842278203723978</v>
      </c>
      <c r="G11" s="11">
        <f t="shared" si="1"/>
        <v>0.78039430449068992</v>
      </c>
      <c r="H11" s="1" t="s">
        <v>14</v>
      </c>
      <c r="I11" s="1" t="s">
        <v>22</v>
      </c>
      <c r="J11" s="1" t="s">
        <v>20</v>
      </c>
      <c r="K11" s="1" t="s">
        <v>37</v>
      </c>
    </row>
    <row r="12" spans="1:23" x14ac:dyDescent="0.25">
      <c r="A12" s="1">
        <v>10</v>
      </c>
      <c r="B12" s="2" t="s">
        <v>38</v>
      </c>
      <c r="C12" s="4">
        <v>17732</v>
      </c>
      <c r="D12" s="19">
        <v>184</v>
      </c>
      <c r="E12" s="7">
        <v>3.2114583333333335E-3</v>
      </c>
      <c r="F12" s="11">
        <f t="shared" si="0"/>
        <v>63.906007856705223</v>
      </c>
      <c r="G12" s="11">
        <f t="shared" si="1"/>
        <v>0.66313475330666372</v>
      </c>
      <c r="H12" s="1" t="s">
        <v>14</v>
      </c>
      <c r="I12" s="1" t="s">
        <v>22</v>
      </c>
      <c r="J12" s="1" t="s">
        <v>20</v>
      </c>
      <c r="K12" s="1" t="s">
        <v>37</v>
      </c>
      <c r="L12" s="9" t="s">
        <v>38</v>
      </c>
      <c r="M12" s="4">
        <v>15154.4</v>
      </c>
      <c r="N12" s="4">
        <v>191</v>
      </c>
      <c r="O12" s="7">
        <v>2.6424074074074063E-3</v>
      </c>
      <c r="P12" s="11">
        <v>65.803144204784275</v>
      </c>
      <c r="Q12" s="11">
        <v>0.81835993409207286</v>
      </c>
      <c r="S12" s="12"/>
      <c r="T12" s="12"/>
      <c r="U12" s="8"/>
      <c r="V12" s="23"/>
      <c r="W12" s="23"/>
    </row>
    <row r="13" spans="1:23" x14ac:dyDescent="0.25">
      <c r="A13" s="1">
        <v>11</v>
      </c>
      <c r="B13" s="2" t="s">
        <v>40</v>
      </c>
      <c r="C13" s="4">
        <v>35944</v>
      </c>
      <c r="D13" s="19">
        <v>431</v>
      </c>
      <c r="E13" s="7">
        <v>6.5349537037037034E-3</v>
      </c>
      <c r="F13" s="11">
        <f t="shared" si="0"/>
        <v>63.660515036661828</v>
      </c>
      <c r="G13" s="11">
        <f t="shared" si="1"/>
        <v>0.76334525875810277</v>
      </c>
      <c r="H13" s="1" t="s">
        <v>16</v>
      </c>
      <c r="I13" s="1" t="s">
        <v>21</v>
      </c>
      <c r="J13" s="1" t="s">
        <v>20</v>
      </c>
      <c r="K13" s="1" t="s">
        <v>37</v>
      </c>
      <c r="L13" s="9" t="s">
        <v>40</v>
      </c>
      <c r="M13" s="4">
        <v>35944</v>
      </c>
      <c r="N13" s="4">
        <v>431</v>
      </c>
      <c r="O13" s="7">
        <v>6.5349537037036999E-3</v>
      </c>
      <c r="P13" s="11">
        <v>63.660515036661799</v>
      </c>
      <c r="Q13" s="11">
        <v>0.763345258758103</v>
      </c>
    </row>
    <row r="14" spans="1:23" x14ac:dyDescent="0.25">
      <c r="A14" s="1">
        <v>12</v>
      </c>
      <c r="B14" s="2" t="s">
        <v>42</v>
      </c>
      <c r="C14" s="4">
        <v>72932</v>
      </c>
      <c r="D14" s="19">
        <v>981</v>
      </c>
      <c r="E14" s="7">
        <v>1.159976851851852E-2</v>
      </c>
      <c r="F14" s="11">
        <f t="shared" si="0"/>
        <v>72.770449601883811</v>
      </c>
      <c r="G14" s="11">
        <f t="shared" si="1"/>
        <v>0.97882700405100664</v>
      </c>
      <c r="H14" s="1" t="s">
        <v>24</v>
      </c>
      <c r="I14" s="1" t="s">
        <v>21</v>
      </c>
      <c r="J14" s="1" t="s">
        <v>20</v>
      </c>
      <c r="K14" s="1" t="s">
        <v>37</v>
      </c>
      <c r="L14" s="31" t="s">
        <v>42</v>
      </c>
      <c r="M14" s="4">
        <v>72932</v>
      </c>
      <c r="N14" s="4">
        <v>981</v>
      </c>
      <c r="O14" s="7">
        <v>1.1599768518518501E-2</v>
      </c>
      <c r="P14" s="11">
        <v>72.770449601883797</v>
      </c>
      <c r="Q14" s="11">
        <v>0.97882700405100698</v>
      </c>
    </row>
    <row r="16" spans="1:23" x14ac:dyDescent="0.25">
      <c r="R16" s="1"/>
    </row>
    <row r="21" spans="8:8" x14ac:dyDescent="0.25">
      <c r="H21" s="24"/>
    </row>
  </sheetData>
  <mergeCells count="11">
    <mergeCell ref="G1:G2"/>
    <mergeCell ref="H1:H2"/>
    <mergeCell ref="I1:I2"/>
    <mergeCell ref="J1:J2"/>
    <mergeCell ref="K1:K2"/>
    <mergeCell ref="F1:F2"/>
    <mergeCell ref="A1:A2"/>
    <mergeCell ref="B1:B2"/>
    <mergeCell ref="C1:C2"/>
    <mergeCell ref="D1:D2"/>
    <mergeCell ref="E1:E2"/>
  </mergeCells>
  <conditionalFormatting sqref="K1:K2">
    <cfRule type="containsText" dxfId="68" priority="38" operator="containsText" text="Null">
      <formula>NOT(ISERROR(SEARCH("Null",K1)))</formula>
    </cfRule>
  </conditionalFormatting>
  <conditionalFormatting sqref="H1:H14 H16:H1048576">
    <cfRule type="containsText" dxfId="67" priority="31" operator="containsText" text="Grade">
      <formula>NOT(ISERROR(SEARCH("Grade",H1)))</formula>
    </cfRule>
    <cfRule type="containsText" dxfId="66" priority="32" operator="containsText" text="S">
      <formula>NOT(ISERROR(SEARCH("S",H1)))</formula>
    </cfRule>
    <cfRule type="containsText" dxfId="65" priority="33" operator="containsText" text="A">
      <formula>NOT(ISERROR(SEARCH("A",H1)))</formula>
    </cfRule>
    <cfRule type="containsText" dxfId="64" priority="34" operator="containsText" text="B">
      <formula>NOT(ISERROR(SEARCH("B",H1)))</formula>
    </cfRule>
    <cfRule type="containsText" dxfId="63" priority="35" operator="containsText" text="C">
      <formula>NOT(ISERROR(SEARCH("C",H1)))</formula>
    </cfRule>
    <cfRule type="containsText" dxfId="62" priority="36" operator="containsText" text="D">
      <formula>NOT(ISERROR(SEARCH("D",H1)))</formula>
    </cfRule>
  </conditionalFormatting>
  <conditionalFormatting sqref="J1:J1048576">
    <cfRule type="containsText" dxfId="61" priority="1" operator="containsText" text="Null">
      <formula>NOT(ISERROR(SEARCH("Null",J1)))</formula>
    </cfRule>
    <cfRule type="containsText" dxfId="60" priority="29" operator="containsText" text="Content">
      <formula>NOT(ISERROR(SEARCH("Content",J1)))</formula>
    </cfRule>
    <cfRule type="containsText" dxfId="59" priority="30" operator="containsText" text="YT Videos">
      <formula>NOT(ISERROR(SEARCH("YT Videos",J1)))</formula>
    </cfRule>
  </conditionalFormatting>
  <conditionalFormatting sqref="C1:C1048576">
    <cfRule type="top10" dxfId="58" priority="28" percent="1" rank="10"/>
  </conditionalFormatting>
  <conditionalFormatting sqref="D1:D1048576">
    <cfRule type="top10" dxfId="57" priority="27" percent="1" rank="10"/>
  </conditionalFormatting>
  <conditionalFormatting sqref="E1:E1048576">
    <cfRule type="top10" dxfId="56" priority="26" percent="1" rank="10"/>
  </conditionalFormatting>
  <conditionalFormatting sqref="F1:F1048576">
    <cfRule type="top10" dxfId="55" priority="25" percent="1" rank="10"/>
  </conditionalFormatting>
  <conditionalFormatting sqref="G1:G1048576">
    <cfRule type="top10" dxfId="54" priority="24" percent="1" rank="10"/>
  </conditionalFormatting>
  <conditionalFormatting sqref="I1:I14 I16:I1048576">
    <cfRule type="containsText" dxfId="53" priority="12" operator="containsText" text="Switch">
      <formula>NOT(ISERROR(SEARCH("Switch",I1)))</formula>
    </cfRule>
  </conditionalFormatting>
  <conditionalFormatting sqref="M1:M15 M17:M1048576">
    <cfRule type="containsText" dxfId="52" priority="10" operator="containsText" text="Score">
      <formula>NOT(ISERROR(SEARCH("Score",M1)))</formula>
    </cfRule>
    <cfRule type="expression" dxfId="51" priority="11">
      <formula>$M1 &gt; $M$2</formula>
    </cfRule>
  </conditionalFormatting>
  <conditionalFormatting sqref="N1:N15 N17:N1048576">
    <cfRule type="containsText" dxfId="50" priority="8" operator="containsText" text="Clears">
      <formula>NOT(ISERROR(SEARCH("Clears",N1)))</formula>
    </cfRule>
    <cfRule type="expression" dxfId="49" priority="9">
      <formula>$N1 &gt; $N$2</formula>
    </cfRule>
  </conditionalFormatting>
  <conditionalFormatting sqref="O1:O15 O17:O1048576">
    <cfRule type="containsText" dxfId="48" priority="6" operator="containsText" text="Time">
      <formula>NOT(ISERROR(SEARCH("Time",O1)))</formula>
    </cfRule>
    <cfRule type="expression" dxfId="47" priority="7">
      <formula>$O1 &gt; $O$2</formula>
    </cfRule>
  </conditionalFormatting>
  <conditionalFormatting sqref="P1:P15 P17:P1048576">
    <cfRule type="containsText" dxfId="46" priority="4" operator="containsText" text="Score/Sec">
      <formula>NOT(ISERROR(SEARCH("Score/Sec",P1)))</formula>
    </cfRule>
    <cfRule type="expression" dxfId="45" priority="5">
      <formula>$P1 &gt; $P$2</formula>
    </cfRule>
  </conditionalFormatting>
  <conditionalFormatting sqref="Q1:Q15 Q17:Q1048576">
    <cfRule type="containsText" dxfId="44" priority="2" operator="containsText" text="Clears/Sec">
      <formula>NOT(ISERROR(SEARCH("Clears/Sec",Q1)))</formula>
    </cfRule>
    <cfRule type="expression" dxfId="43" priority="3">
      <formula>$Q1 &gt; $Q$2</formula>
    </cfRule>
  </conditionalFormatting>
  <conditionalFormatting sqref="R16">
    <cfRule type="containsText" dxfId="42" priority="81" operator="containsText" text="Clears/Sec">
      <formula>NOT(ISERROR(SEARCH("Clears/Sec",R16)))</formula>
    </cfRule>
    <cfRule type="expression" dxfId="41" priority="82">
      <formula>$R16 &gt; $Q$2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Purify">
          <controlPr defaultSize="0" autoLine="0" r:id="rId4">
            <anchor moveWithCells="1">
              <from>
                <xdr:col>11</xdr:col>
                <xdr:colOff>9525</xdr:colOff>
                <xdr:row>0</xdr:row>
                <xdr:rowOff>0</xdr:rowOff>
              </from>
              <to>
                <xdr:col>12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22529" r:id="rId3" name="Purif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F9E9-6EBF-424E-8823-49DF35CE4BF7}">
  <sheetPr codeName="Sheet12"/>
  <dimension ref="A1:X21"/>
  <sheetViews>
    <sheetView workbookViewId="0">
      <selection activeCell="J23" sqref="J23"/>
    </sheetView>
  </sheetViews>
  <sheetFormatPr defaultRowHeight="18.75" x14ac:dyDescent="0.25"/>
  <cols>
    <col min="1" max="1" width="3.69921875" style="1" bestFit="1" customWidth="1"/>
    <col min="2" max="2" width="7.92578125" style="2" bestFit="1" customWidth="1"/>
    <col min="3" max="3" width="6.4453125" style="4" bestFit="1" customWidth="1"/>
    <col min="4" max="4" width="5.6015625" style="19" bestFit="1" customWidth="1"/>
    <col min="5" max="5" width="7.92578125" style="7" bestFit="1" customWidth="1"/>
    <col min="6" max="6" width="8.453125" style="11" bestFit="1" customWidth="1"/>
    <col min="7" max="7" width="8.875" style="11" bestFit="1" customWidth="1"/>
    <col min="8" max="8" width="5.6015625" style="1" bestFit="1" customWidth="1"/>
    <col min="9" max="9" width="7.609375" style="1" bestFit="1" customWidth="1"/>
    <col min="10" max="10" width="8.2421875" style="1" bestFit="1" customWidth="1"/>
    <col min="11" max="11" width="7.8203125" style="1" bestFit="1" customWidth="1"/>
    <col min="12" max="12" width="8.76953125" style="25"/>
    <col min="13" max="13" width="6.4453125" style="4" bestFit="1" customWidth="1"/>
    <col min="14" max="14" width="4.96484375" style="4" bestFit="1" customWidth="1"/>
    <col min="15" max="15" width="7.92578125" style="7" bestFit="1" customWidth="1"/>
    <col min="16" max="16" width="8.76953125" style="11"/>
    <col min="17" max="17" width="9.30078125" style="11" bestFit="1" customWidth="1"/>
  </cols>
  <sheetData>
    <row r="1" spans="1:24" x14ac:dyDescent="0.25">
      <c r="A1" s="34" t="s">
        <v>0</v>
      </c>
      <c r="B1" s="35" t="s">
        <v>1</v>
      </c>
      <c r="C1" s="33" t="s">
        <v>2</v>
      </c>
      <c r="D1" s="36" t="s">
        <v>32</v>
      </c>
      <c r="E1" s="38" t="s">
        <v>4</v>
      </c>
      <c r="F1" s="39" t="s">
        <v>6</v>
      </c>
      <c r="G1" s="39" t="s">
        <v>34</v>
      </c>
      <c r="H1" s="34" t="s">
        <v>5</v>
      </c>
      <c r="I1" s="34" t="s">
        <v>9</v>
      </c>
      <c r="J1" s="34" t="s">
        <v>8</v>
      </c>
      <c r="K1" s="42" t="s">
        <v>35</v>
      </c>
      <c r="M1" s="14" t="s">
        <v>2</v>
      </c>
      <c r="N1" s="14" t="s">
        <v>32</v>
      </c>
      <c r="O1" s="15" t="s">
        <v>4</v>
      </c>
      <c r="P1" s="17" t="s">
        <v>6</v>
      </c>
      <c r="Q1" s="17" t="s">
        <v>34</v>
      </c>
    </row>
    <row r="2" spans="1:24" x14ac:dyDescent="0.25">
      <c r="A2" s="34"/>
      <c r="B2" s="35"/>
      <c r="C2" s="33"/>
      <c r="D2" s="36"/>
      <c r="E2" s="38"/>
      <c r="F2" s="39"/>
      <c r="G2" s="39"/>
      <c r="H2" s="34"/>
      <c r="I2" s="34"/>
      <c r="J2" s="34"/>
      <c r="K2" s="42"/>
      <c r="M2" s="14">
        <f>AVERAGE(C:C)</f>
        <v>12073.2</v>
      </c>
      <c r="N2" s="14">
        <f>AVERAGE(D:D)</f>
        <v>159.9</v>
      </c>
      <c r="O2" s="15">
        <v>2.0833333333333333E-3</v>
      </c>
      <c r="P2" s="17">
        <f>AVERAGE(F:F)</f>
        <v>68.314750186428043</v>
      </c>
      <c r="Q2" s="17">
        <f>AVERAGE(G:G)</f>
        <v>0.8993866517524236</v>
      </c>
    </row>
    <row r="3" spans="1:24" x14ac:dyDescent="0.25">
      <c r="A3" s="1">
        <v>1</v>
      </c>
      <c r="B3" s="2" t="s">
        <v>38</v>
      </c>
      <c r="C3" s="4">
        <v>12045</v>
      </c>
      <c r="D3" s="19">
        <v>181</v>
      </c>
      <c r="E3" s="7">
        <v>2.0833333333333333E-3</v>
      </c>
      <c r="F3" s="11">
        <f t="shared" ref="F3:F12" si="0">C3/(E3*86400)</f>
        <v>66.916666666666671</v>
      </c>
      <c r="G3" s="11">
        <f t="shared" ref="G3:G12" si="1">D3/(E3*86400)</f>
        <v>1.0055555555555555</v>
      </c>
      <c r="H3" s="1" t="s">
        <v>14</v>
      </c>
      <c r="I3" s="1" t="s">
        <v>21</v>
      </c>
      <c r="J3" s="1" t="s">
        <v>19</v>
      </c>
      <c r="K3" s="1" t="s">
        <v>37</v>
      </c>
    </row>
    <row r="4" spans="1:24" x14ac:dyDescent="0.25">
      <c r="A4" s="1">
        <v>2</v>
      </c>
      <c r="B4" s="2" t="s">
        <v>38</v>
      </c>
      <c r="C4" s="4">
        <v>8648</v>
      </c>
      <c r="D4" s="19">
        <v>77</v>
      </c>
      <c r="E4" s="7">
        <v>1.6555555555555555E-3</v>
      </c>
      <c r="F4" s="11">
        <f t="shared" si="0"/>
        <v>60.458612975391503</v>
      </c>
      <c r="G4" s="11">
        <f t="shared" si="1"/>
        <v>0.53831096196868011</v>
      </c>
      <c r="H4" s="1" t="s">
        <v>17</v>
      </c>
      <c r="I4" s="1" t="s">
        <v>21</v>
      </c>
      <c r="J4" s="1" t="s">
        <v>19</v>
      </c>
      <c r="K4" s="1" t="s">
        <v>37</v>
      </c>
    </row>
    <row r="5" spans="1:24" x14ac:dyDescent="0.25">
      <c r="A5" s="1">
        <v>3</v>
      </c>
      <c r="B5" s="2" t="s">
        <v>38</v>
      </c>
      <c r="C5" s="4">
        <v>13264</v>
      </c>
      <c r="D5" s="19">
        <v>214</v>
      </c>
      <c r="E5" s="7">
        <v>2.0833333333333333E-3</v>
      </c>
      <c r="F5" s="11">
        <f t="shared" si="0"/>
        <v>73.688888888888883</v>
      </c>
      <c r="G5" s="11">
        <f t="shared" si="1"/>
        <v>1.1888888888888889</v>
      </c>
      <c r="H5" s="1" t="s">
        <v>14</v>
      </c>
      <c r="I5" s="1" t="s">
        <v>21</v>
      </c>
      <c r="J5" s="1" t="s">
        <v>19</v>
      </c>
      <c r="K5" s="1" t="s">
        <v>37</v>
      </c>
    </row>
    <row r="6" spans="1:24" x14ac:dyDescent="0.25">
      <c r="A6" s="1">
        <v>4</v>
      </c>
      <c r="B6" s="2" t="s">
        <v>38</v>
      </c>
      <c r="C6" s="4">
        <v>13072</v>
      </c>
      <c r="D6" s="19">
        <v>185</v>
      </c>
      <c r="E6" s="7">
        <v>2.0833333333333333E-3</v>
      </c>
      <c r="F6" s="11">
        <f t="shared" si="0"/>
        <v>72.62222222222222</v>
      </c>
      <c r="G6" s="11">
        <f t="shared" si="1"/>
        <v>1.0277777777777777</v>
      </c>
      <c r="H6" s="1" t="s">
        <v>14</v>
      </c>
      <c r="I6" s="1" t="s">
        <v>22</v>
      </c>
      <c r="J6" s="1" t="s">
        <v>19</v>
      </c>
      <c r="K6" s="1" t="s">
        <v>37</v>
      </c>
    </row>
    <row r="7" spans="1:24" x14ac:dyDescent="0.25">
      <c r="A7" s="1">
        <v>5</v>
      </c>
      <c r="B7" s="2" t="s">
        <v>38</v>
      </c>
      <c r="C7" s="4">
        <v>11058</v>
      </c>
      <c r="D7" s="19">
        <v>165</v>
      </c>
      <c r="E7" s="7">
        <v>2.0833333333333333E-3</v>
      </c>
      <c r="F7" s="11">
        <f t="shared" si="0"/>
        <v>61.43333333333333</v>
      </c>
      <c r="G7" s="11">
        <f t="shared" si="1"/>
        <v>0.91666666666666663</v>
      </c>
      <c r="H7" s="1" t="s">
        <v>14</v>
      </c>
      <c r="I7" s="1" t="s">
        <v>22</v>
      </c>
      <c r="J7" s="1" t="s">
        <v>19</v>
      </c>
      <c r="K7" s="1" t="s">
        <v>37</v>
      </c>
    </row>
    <row r="8" spans="1:24" x14ac:dyDescent="0.25">
      <c r="A8" s="1">
        <v>6</v>
      </c>
      <c r="B8" s="2" t="s">
        <v>38</v>
      </c>
      <c r="C8" s="4">
        <v>12596</v>
      </c>
      <c r="D8" s="19">
        <v>192</v>
      </c>
      <c r="E8" s="7">
        <v>2.0833333333333333E-3</v>
      </c>
      <c r="F8" s="11">
        <f t="shared" si="0"/>
        <v>69.977777777777774</v>
      </c>
      <c r="G8" s="11">
        <f t="shared" si="1"/>
        <v>1.0666666666666667</v>
      </c>
      <c r="H8" s="1" t="s">
        <v>14</v>
      </c>
      <c r="I8" s="1" t="s">
        <v>21</v>
      </c>
      <c r="J8" s="1" t="s">
        <v>20</v>
      </c>
      <c r="K8" s="1" t="s">
        <v>37</v>
      </c>
    </row>
    <row r="9" spans="1:24" x14ac:dyDescent="0.25">
      <c r="A9" s="1">
        <v>7</v>
      </c>
      <c r="B9" s="2" t="s">
        <v>38</v>
      </c>
      <c r="C9" s="4">
        <v>13453</v>
      </c>
      <c r="D9" s="19">
        <v>141</v>
      </c>
      <c r="E9" s="7">
        <v>2.0833333333333333E-3</v>
      </c>
      <c r="F9" s="11">
        <f t="shared" si="0"/>
        <v>74.738888888888894</v>
      </c>
      <c r="G9" s="11">
        <f t="shared" si="1"/>
        <v>0.78333333333333333</v>
      </c>
      <c r="H9" s="1" t="s">
        <v>15</v>
      </c>
      <c r="I9" s="1" t="s">
        <v>21</v>
      </c>
      <c r="J9" s="1" t="s">
        <v>20</v>
      </c>
      <c r="K9" s="1" t="s">
        <v>37</v>
      </c>
      <c r="L9" s="25" t="s">
        <v>38</v>
      </c>
      <c r="M9" s="4">
        <v>12019.428571428571</v>
      </c>
      <c r="N9" s="4">
        <v>165</v>
      </c>
      <c r="O9" s="7">
        <v>2.0222222222222204E-3</v>
      </c>
      <c r="P9" s="11">
        <v>68.548103440928941</v>
      </c>
      <c r="Q9" s="11">
        <v>0.93252061361457428</v>
      </c>
    </row>
    <row r="10" spans="1:24" x14ac:dyDescent="0.25">
      <c r="A10" s="1">
        <v>8</v>
      </c>
      <c r="B10" s="2" t="s">
        <v>40</v>
      </c>
      <c r="C10" s="4">
        <v>12696</v>
      </c>
      <c r="D10" s="19">
        <v>168</v>
      </c>
      <c r="E10" s="7">
        <v>2.0833333333333333E-3</v>
      </c>
      <c r="F10" s="11">
        <f t="shared" si="0"/>
        <v>70.533333333333331</v>
      </c>
      <c r="G10" s="11">
        <f t="shared" si="1"/>
        <v>0.93333333333333335</v>
      </c>
      <c r="H10" s="1" t="s">
        <v>14</v>
      </c>
      <c r="I10" s="1" t="s">
        <v>21</v>
      </c>
      <c r="J10" s="1" t="s">
        <v>20</v>
      </c>
      <c r="K10" s="1" t="s">
        <v>37</v>
      </c>
    </row>
    <row r="11" spans="1:24" x14ac:dyDescent="0.25">
      <c r="A11" s="1">
        <v>9</v>
      </c>
      <c r="B11" s="2" t="s">
        <v>40</v>
      </c>
      <c r="C11" s="4">
        <v>11496</v>
      </c>
      <c r="D11" s="19">
        <v>131</v>
      </c>
      <c r="E11" s="7">
        <v>2.0833333333333333E-3</v>
      </c>
      <c r="F11" s="11">
        <f t="shared" si="0"/>
        <v>63.866666666666667</v>
      </c>
      <c r="G11" s="11">
        <f t="shared" si="1"/>
        <v>0.72777777777777775</v>
      </c>
      <c r="H11" s="1" t="s">
        <v>15</v>
      </c>
      <c r="I11" s="1" t="s">
        <v>21</v>
      </c>
      <c r="J11" s="1" t="s">
        <v>20</v>
      </c>
      <c r="K11" s="1" t="s">
        <v>37</v>
      </c>
      <c r="S11" s="11"/>
      <c r="T11" s="11"/>
      <c r="U11" s="1"/>
      <c r="V11" s="1"/>
      <c r="W11" s="1"/>
      <c r="X11" s="1"/>
    </row>
    <row r="12" spans="1:24" x14ac:dyDescent="0.25">
      <c r="A12" s="1">
        <v>10</v>
      </c>
      <c r="B12" s="2" t="s">
        <v>40</v>
      </c>
      <c r="C12" s="4">
        <v>12404</v>
      </c>
      <c r="D12" s="19">
        <v>145</v>
      </c>
      <c r="E12" s="7">
        <v>2.0833333333333333E-3</v>
      </c>
      <c r="F12" s="11">
        <f t="shared" si="0"/>
        <v>68.911111111111111</v>
      </c>
      <c r="G12" s="11">
        <f t="shared" si="1"/>
        <v>0.80555555555555558</v>
      </c>
      <c r="H12" s="1" t="s">
        <v>15</v>
      </c>
      <c r="I12" s="1" t="s">
        <v>21</v>
      </c>
      <c r="J12" s="1" t="s">
        <v>20</v>
      </c>
      <c r="K12" s="1" t="s">
        <v>37</v>
      </c>
      <c r="L12" s="25" t="s">
        <v>40</v>
      </c>
      <c r="M12" s="4">
        <v>12198.666666666666</v>
      </c>
      <c r="N12" s="4">
        <v>148</v>
      </c>
      <c r="O12" s="7">
        <v>2.0833333333333298E-3</v>
      </c>
      <c r="P12" s="11">
        <v>67.770370370370372</v>
      </c>
      <c r="Q12" s="11">
        <v>0.8222222222222223</v>
      </c>
      <c r="S12" s="11"/>
      <c r="T12" s="11"/>
      <c r="U12" s="1"/>
      <c r="V12" s="1"/>
      <c r="W12" s="1"/>
      <c r="X12" s="1"/>
    </row>
    <row r="13" spans="1:24" x14ac:dyDescent="0.25">
      <c r="S13" s="11"/>
      <c r="T13" s="11"/>
      <c r="U13" s="1"/>
      <c r="V13" s="1"/>
      <c r="W13" s="1"/>
      <c r="X13" s="1"/>
    </row>
    <row r="14" spans="1:24" x14ac:dyDescent="0.25">
      <c r="S14" s="11"/>
      <c r="T14" s="11"/>
      <c r="U14" s="1"/>
      <c r="V14" s="1"/>
      <c r="W14" s="1"/>
      <c r="X14" s="1"/>
    </row>
    <row r="15" spans="1:24" x14ac:dyDescent="0.25">
      <c r="S15" s="11"/>
      <c r="T15" s="11"/>
      <c r="U15" s="1"/>
      <c r="V15" s="1"/>
      <c r="W15" s="1"/>
      <c r="X15" s="1"/>
    </row>
    <row r="16" spans="1:24" x14ac:dyDescent="0.25">
      <c r="R16" s="1"/>
    </row>
    <row r="21" spans="8:8" x14ac:dyDescent="0.25">
      <c r="H21" s="24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H2"/>
    <mergeCell ref="I1:I2"/>
    <mergeCell ref="J1:J2"/>
    <mergeCell ref="K1:K2"/>
  </mergeCells>
  <conditionalFormatting sqref="K1:K1048576">
    <cfRule type="containsText" dxfId="40" priority="44" operator="containsText" text="Null">
      <formula>NOT(ISERROR(SEARCH("Null",K1)))</formula>
    </cfRule>
  </conditionalFormatting>
  <conditionalFormatting sqref="H1:H14 H16:H1048576">
    <cfRule type="containsText" dxfId="39" priority="38" operator="containsText" text="Grade">
      <formula>NOT(ISERROR(SEARCH("Grade",H1)))</formula>
    </cfRule>
    <cfRule type="containsText" dxfId="38" priority="39" operator="containsText" text="S">
      <formula>NOT(ISERROR(SEARCH("S",H1)))</formula>
    </cfRule>
    <cfRule type="containsText" dxfId="37" priority="40" operator="containsText" text="A">
      <formula>NOT(ISERROR(SEARCH("A",H1)))</formula>
    </cfRule>
    <cfRule type="containsText" dxfId="36" priority="41" operator="containsText" text="B">
      <formula>NOT(ISERROR(SEARCH("B",H1)))</formula>
    </cfRule>
    <cfRule type="containsText" dxfId="35" priority="42" operator="containsText" text="C">
      <formula>NOT(ISERROR(SEARCH("C",H1)))</formula>
    </cfRule>
    <cfRule type="containsText" dxfId="34" priority="43" operator="containsText" text="D">
      <formula>NOT(ISERROR(SEARCH("D",H1)))</formula>
    </cfRule>
  </conditionalFormatting>
  <conditionalFormatting sqref="J1:J1048576">
    <cfRule type="containsText" dxfId="33" priority="19" operator="containsText" text="Null">
      <formula>NOT(ISERROR(SEARCH("Null",J1)))</formula>
    </cfRule>
    <cfRule type="containsText" dxfId="32" priority="36" operator="containsText" text="Content">
      <formula>NOT(ISERROR(SEARCH("Content",J1)))</formula>
    </cfRule>
    <cfRule type="containsText" dxfId="31" priority="37" operator="containsText" text="YT Videos">
      <formula>NOT(ISERROR(SEARCH("YT Videos",J1)))</formula>
    </cfRule>
  </conditionalFormatting>
  <conditionalFormatting sqref="C1:C7 C13:C1048576">
    <cfRule type="top10" dxfId="30" priority="35" percent="1" rank="10"/>
  </conditionalFormatting>
  <conditionalFormatting sqref="D1:D7 D13:D1048576">
    <cfRule type="top10" dxfId="29" priority="34" percent="1" rank="10"/>
  </conditionalFormatting>
  <conditionalFormatting sqref="F1:F1048576">
    <cfRule type="top10" dxfId="28" priority="32" percent="1" rank="10"/>
  </conditionalFormatting>
  <conditionalFormatting sqref="G1:G1048576">
    <cfRule type="top10" dxfId="27" priority="31" percent="1" rank="10"/>
  </conditionalFormatting>
  <conditionalFormatting sqref="I1:I14 I16:I1048576">
    <cfRule type="containsText" dxfId="26" priority="30" operator="containsText" text="Switch">
      <formula>NOT(ISERROR(SEARCH("Switch",I1)))</formula>
    </cfRule>
  </conditionalFormatting>
  <conditionalFormatting sqref="M1:M15 M17:M1048576">
    <cfRule type="containsText" dxfId="25" priority="28" operator="containsText" text="Score">
      <formula>NOT(ISERROR(SEARCH("Score",M1)))</formula>
    </cfRule>
    <cfRule type="expression" dxfId="24" priority="29">
      <formula>$M1 &gt; $M$2</formula>
    </cfRule>
  </conditionalFormatting>
  <conditionalFormatting sqref="N1:N15 N17:N1048576">
    <cfRule type="containsText" dxfId="23" priority="26" operator="containsText" text="Clears">
      <formula>NOT(ISERROR(SEARCH("Clears",N1)))</formula>
    </cfRule>
    <cfRule type="expression" dxfId="22" priority="27">
      <formula>$N1 &gt; $N$2</formula>
    </cfRule>
  </conditionalFormatting>
  <conditionalFormatting sqref="O1:O15 O17:O1048576">
    <cfRule type="containsText" dxfId="21" priority="1" operator="containsText" text="Time">
      <formula>NOT(ISERROR(SEARCH("Time",O1)))</formula>
    </cfRule>
  </conditionalFormatting>
  <conditionalFormatting sqref="P1:P15 P17:P1048576">
    <cfRule type="containsText" dxfId="20" priority="22" operator="containsText" text="Score/Sec">
      <formula>NOT(ISERROR(SEARCH("Score/Sec",P1)))</formula>
    </cfRule>
    <cfRule type="expression" dxfId="19" priority="23">
      <formula>$P1 &gt; $P$2</formula>
    </cfRule>
  </conditionalFormatting>
  <conditionalFormatting sqref="Q1:Q15 Q17:Q1048576">
    <cfRule type="containsText" dxfId="18" priority="20" operator="containsText" text="Clears/Sec">
      <formula>NOT(ISERROR(SEARCH("Clears/Sec",Q1)))</formula>
    </cfRule>
    <cfRule type="expression" dxfId="17" priority="21">
      <formula>$Q1 &gt; $Q$2</formula>
    </cfRule>
  </conditionalFormatting>
  <conditionalFormatting sqref="R16">
    <cfRule type="containsText" dxfId="16" priority="45" operator="containsText" text="Clears/Sec">
      <formula>NOT(ISERROR(SEARCH("Clears/Sec",R16)))</formula>
    </cfRule>
    <cfRule type="expression" dxfId="15" priority="46">
      <formula>$R16 &gt; $Q$2</formula>
    </cfRule>
  </conditionalFormatting>
  <conditionalFormatting sqref="U11:U15">
    <cfRule type="containsText" dxfId="14" priority="13" operator="containsText" text="Grade">
      <formula>NOT(ISERROR(SEARCH("Grade",U11)))</formula>
    </cfRule>
    <cfRule type="containsText" dxfId="13" priority="14" operator="containsText" text="S">
      <formula>NOT(ISERROR(SEARCH("S",U11)))</formula>
    </cfRule>
    <cfRule type="containsText" dxfId="12" priority="15" operator="containsText" text="A">
      <formula>NOT(ISERROR(SEARCH("A",U11)))</formula>
    </cfRule>
    <cfRule type="containsText" dxfId="11" priority="16" operator="containsText" text="B">
      <formula>NOT(ISERROR(SEARCH("B",U11)))</formula>
    </cfRule>
    <cfRule type="containsText" dxfId="10" priority="17" operator="containsText" text="C">
      <formula>NOT(ISERROR(SEARCH("C",U11)))</formula>
    </cfRule>
    <cfRule type="containsText" dxfId="9" priority="18" operator="containsText" text="D">
      <formula>NOT(ISERROR(SEARCH("D",U11)))</formula>
    </cfRule>
  </conditionalFormatting>
  <conditionalFormatting sqref="W11:W15">
    <cfRule type="containsText" dxfId="8" priority="4" operator="containsText" text="Null">
      <formula>NOT(ISERROR(SEARCH("Null",W11)))</formula>
    </cfRule>
    <cfRule type="containsText" dxfId="7" priority="11" operator="containsText" text="Content">
      <formula>NOT(ISERROR(SEARCH("Content",W11)))</formula>
    </cfRule>
    <cfRule type="containsText" dxfId="6" priority="12" operator="containsText" text="YT Videos">
      <formula>NOT(ISERROR(SEARCH("YT Videos",W11)))</formula>
    </cfRule>
  </conditionalFormatting>
  <conditionalFormatting sqref="S11:S15">
    <cfRule type="top10" dxfId="5" priority="7" percent="1" rank="10"/>
  </conditionalFormatting>
  <conditionalFormatting sqref="T11:T15">
    <cfRule type="top10" dxfId="4" priority="6" percent="1" rank="10"/>
  </conditionalFormatting>
  <conditionalFormatting sqref="V11:V15">
    <cfRule type="containsText" dxfId="3" priority="5" operator="containsText" text="Switch">
      <formula>NOT(ISERROR(SEARCH("Switch",V11)))</formula>
    </cfRule>
  </conditionalFormatting>
  <conditionalFormatting sqref="C8:C12">
    <cfRule type="top10" dxfId="2" priority="3" percent="1" rank="10"/>
  </conditionalFormatting>
  <conditionalFormatting sqref="D8:D12">
    <cfRule type="top10" dxfId="1" priority="2" percent="1" rank="10"/>
  </conditionalFormatting>
  <conditionalFormatting sqref="O1:O1048576">
    <cfRule type="expression" dxfId="0" priority="24">
      <formula>$O1 &gt;= $O$2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Purify_Timed">
          <controlPr defaultSize="0" autoLine="0" r:id="rId4">
            <anchor moveWithCells="1">
              <from>
                <xdr:col>11</xdr:col>
                <xdr:colOff>9525</xdr:colOff>
                <xdr:row>0</xdr:row>
                <xdr:rowOff>0</xdr:rowOff>
              </from>
              <to>
                <xdr:col>12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23553" r:id="rId3" name="Purify_Time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#Classic</vt:lpstr>
      <vt:lpstr>#=Ultra</vt:lpstr>
      <vt:lpstr>=Sprint</vt:lpstr>
      <vt:lpstr>+Purify</vt:lpstr>
      <vt:lpstr>+=Purify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Burcham</dc:creator>
  <cp:lastModifiedBy>Patrick Burcham</cp:lastModifiedBy>
  <dcterms:created xsi:type="dcterms:W3CDTF">2024-09-03T12:16:29Z</dcterms:created>
  <dcterms:modified xsi:type="dcterms:W3CDTF">2024-09-21T00:40:12Z</dcterms:modified>
</cp:coreProperties>
</file>